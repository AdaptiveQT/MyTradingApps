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RADING PLAN" sheetId="2" state="visible" r:id="rId2"/>
    <sheet xmlns:r="http://schemas.openxmlformats.org/officeDocument/2006/relationships" name="HOMEPAGE" sheetId="3" state="visible" r:id="rId3"/>
    <sheet xmlns:r="http://schemas.openxmlformats.org/officeDocument/2006/relationships" name="JOUR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  <c r="D1" t="inlineStr">
        <is>
          <t>Broker</t>
        </is>
      </c>
      <c r="E1" t="inlineStr">
        <is>
          <t>MinLot</t>
        </is>
      </c>
      <c r="F1" t="inlineStr">
        <is>
          <t>Regulation</t>
        </is>
      </c>
      <c r="G1" t="inlineStr">
        <is>
          <t>Leverage</t>
        </is>
      </c>
    </row>
    <row r="2">
      <c r="A2" t="inlineStr">
        <is>
          <t>Balance</t>
        </is>
      </c>
      <c r="D2" t="inlineStr">
        <is>
          <t>Coinexx</t>
        </is>
      </c>
      <c r="E2" t="n">
        <v>0.001</v>
      </c>
      <c r="F2" t="inlineStr">
        <is>
          <t>Offshore</t>
        </is>
      </c>
      <c r="G2" t="inlineStr">
        <is>
          <t>1:500</t>
        </is>
      </c>
    </row>
    <row r="3">
      <c r="A3" t="inlineStr">
        <is>
          <t>Broker</t>
        </is>
      </c>
      <c r="D3" t="inlineStr">
        <is>
          <t>Hankotrade</t>
        </is>
      </c>
      <c r="E3" t="n">
        <v>0.01</v>
      </c>
      <c r="F3" t="inlineStr">
        <is>
          <t>Offshore</t>
        </is>
      </c>
      <c r="G3" t="inlineStr">
        <is>
          <t>1:500</t>
        </is>
      </c>
    </row>
    <row r="4">
      <c r="A4" t="inlineStr">
        <is>
          <t>Safe Mode</t>
        </is>
      </c>
      <c r="D4" t="inlineStr">
        <is>
          <t>Exness</t>
        </is>
      </c>
      <c r="E4" t="n">
        <v>0.01</v>
      </c>
      <c r="F4" t="inlineStr">
        <is>
          <t>Regulated</t>
        </is>
      </c>
      <c r="G4" t="inlineStr">
        <is>
          <t>1:2000</t>
        </is>
      </c>
    </row>
    <row r="5">
      <c r="D5" t="inlineStr">
        <is>
          <t>IC Markets</t>
        </is>
      </c>
      <c r="E5" t="n">
        <v>0.01</v>
      </c>
      <c r="F5" t="inlineStr">
        <is>
          <t>Regulated</t>
        </is>
      </c>
      <c r="G5" t="inlineStr">
        <is>
          <t>1:500</t>
        </is>
      </c>
    </row>
    <row r="6">
      <c r="A6" t="inlineStr">
        <is>
          <t>Min Lot</t>
        </is>
      </c>
      <c r="B6">
        <f>IFERROR(VLOOKUP(B3,$D$2:$G$12,2,FALSE),"")</f>
        <v/>
      </c>
      <c r="D6" t="inlineStr">
        <is>
          <t>BlackBull</t>
        </is>
      </c>
      <c r="E6" t="n">
        <v>0.01</v>
      </c>
      <c r="F6" t="inlineStr">
        <is>
          <t>Regulated</t>
        </is>
      </c>
      <c r="G6" t="inlineStr">
        <is>
          <t>1:500</t>
        </is>
      </c>
    </row>
    <row r="7">
      <c r="A7" t="inlineStr">
        <is>
          <t>Regulation</t>
        </is>
      </c>
      <c r="B7">
        <f>IFERROR(VLOOKUP(B3,$D$2:$G$12,3,FALSE),"")</f>
        <v/>
      </c>
      <c r="D7" t="inlineStr">
        <is>
          <t>Eightcap</t>
        </is>
      </c>
      <c r="E7" t="n">
        <v>0.01</v>
      </c>
      <c r="F7" t="inlineStr">
        <is>
          <t>Regulated</t>
        </is>
      </c>
      <c r="G7" t="inlineStr">
        <is>
          <t>1:500</t>
        </is>
      </c>
    </row>
    <row r="8">
      <c r="A8" t="inlineStr">
        <is>
          <t>Leverage</t>
        </is>
      </c>
      <c r="B8">
        <f>IFERROR(VLOOKUP(B3,$D$2:$G$12,4,FALSE),"")</f>
        <v/>
      </c>
      <c r="D8" t="inlineStr">
        <is>
          <t>FXGT</t>
        </is>
      </c>
      <c r="E8" t="n">
        <v>0.01</v>
      </c>
      <c r="F8" t="inlineStr">
        <is>
          <t>Offshore</t>
        </is>
      </c>
      <c r="G8" t="inlineStr">
        <is>
          <t>1:1000</t>
        </is>
      </c>
    </row>
    <row r="9">
      <c r="D9" t="inlineStr">
        <is>
          <t>RoboForex</t>
        </is>
      </c>
      <c r="E9" t="n">
        <v>0.01</v>
      </c>
      <c r="F9" t="inlineStr">
        <is>
          <t>Offshore</t>
        </is>
      </c>
      <c r="G9" t="inlineStr">
        <is>
          <t>1:2000</t>
        </is>
      </c>
    </row>
    <row r="10">
      <c r="A10" t="inlineStr">
        <is>
          <t>$/Pip</t>
        </is>
      </c>
      <c r="B10" t="n">
        <v>0.1</v>
      </c>
      <c r="D10" t="inlineStr">
        <is>
          <t>FBS</t>
        </is>
      </c>
      <c r="E10" t="n">
        <v>0.01</v>
      </c>
      <c r="F10" t="inlineStr">
        <is>
          <t>Offshore</t>
        </is>
      </c>
      <c r="G10" t="inlineStr">
        <is>
          <t>1:3000</t>
        </is>
      </c>
    </row>
    <row r="11">
      <c r="A11" t="inlineStr">
        <is>
          <t>Stop Loss (pips)</t>
        </is>
      </c>
      <c r="B11" t="n">
        <v>15</v>
      </c>
      <c r="D11" t="inlineStr">
        <is>
          <t>Deriv</t>
        </is>
      </c>
      <c r="E11" t="n">
        <v>0.001</v>
      </c>
      <c r="F11" t="inlineStr">
        <is>
          <t>Offshore</t>
        </is>
      </c>
      <c r="G11" t="inlineStr">
        <is>
          <t>1:1000</t>
        </is>
      </c>
    </row>
    <row r="12">
      <c r="A12" t="inlineStr">
        <is>
          <t>Target Pips</t>
        </is>
      </c>
      <c r="B12" t="n">
        <v>25</v>
      </c>
      <c r="D12" t="inlineStr">
        <is>
          <t>KOT4X</t>
        </is>
      </c>
      <c r="E12" t="n">
        <v>0.01</v>
      </c>
      <c r="F12" t="inlineStr">
        <is>
          <t>Offshore</t>
        </is>
      </c>
      <c r="G12" t="inlineStr">
        <is>
          <t>1:500</t>
        </is>
      </c>
    </row>
    <row r="13">
      <c r="A13" t="inlineStr">
        <is>
          <t>Daily % Growth</t>
        </is>
      </c>
      <c r="B1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Range</t>
        </is>
      </c>
      <c r="B1" t="inlineStr">
        <is>
          <t>MinBal</t>
        </is>
      </c>
      <c r="C1" t="inlineStr">
        <is>
          <t>MaxBal</t>
        </is>
      </c>
      <c r="D1" t="inlineStr">
        <is>
          <t>Daily Goal</t>
        </is>
      </c>
      <c r="E1" t="inlineStr">
        <is>
          <t>Lot Size</t>
        </is>
      </c>
      <c r="F1" t="inlineStr">
        <is>
          <t>Max Loss</t>
        </is>
      </c>
      <c r="G1" t="inlineStr">
        <is>
          <t>Allowed Pairs</t>
        </is>
      </c>
      <c r="H1" t="inlineStr">
        <is>
          <t>Tier</t>
        </is>
      </c>
      <c r="I1" t="inlineStr">
        <is>
          <t>Notes</t>
        </is>
      </c>
      <c r="J1" t="inlineStr">
        <is>
          <t>← YOU HERE</t>
        </is>
      </c>
    </row>
    <row r="2">
      <c r="A2" t="inlineStr">
        <is>
          <t>$10–$19</t>
        </is>
      </c>
      <c r="B2" t="n">
        <v>10</v>
      </c>
      <c r="C2" t="n">
        <v>19</v>
      </c>
      <c r="D2">
        <f>IFERROR(ROUND(SETTINGS!$B$2*SETTINGS!$B$13,2),"")</f>
        <v/>
      </c>
      <c r="E2">
        <f>IFERROR(IF(SETTINGS!$B$4="ON",MAX(SETTINGS!$B$6,ROUND(D2/SETTINGS!$B$12*10/SETTINGS!$B$10,3))*0.5,MAX(SETTINGS!$B$6,ROUND(D2/SETTINGS!$B$12*10/SETTINGS!$B$10,3))),"")</f>
        <v/>
      </c>
      <c r="F2">
        <f>IFERROR(ROUND(E2*SETTINGS!$B$10*SETTINGS!$B$11,2),"")</f>
        <v/>
      </c>
      <c r="G2" t="inlineStr">
        <is>
          <t>EURUSD only</t>
        </is>
      </c>
      <c r="H2" t="inlineStr">
        <is>
          <t>SURVIVAL</t>
        </is>
      </c>
      <c r="I2" t="inlineStr">
        <is>
          <t>One pair, tight stops</t>
        </is>
      </c>
      <c r="J2">
        <f>IF(AND(SETTINGS!$B$2&gt;=B2,SETTINGS!$B$2&lt;=C2),"←","")</f>
        <v/>
      </c>
    </row>
    <row r="3">
      <c r="A3" t="inlineStr">
        <is>
          <t>$20–$34</t>
        </is>
      </c>
      <c r="B3" t="n">
        <v>20</v>
      </c>
      <c r="C3" t="n">
        <v>34</v>
      </c>
      <c r="D3">
        <f>IFERROR(ROUND(SETTINGS!$B$2*SETTINGS!$B$13,2),"")</f>
        <v/>
      </c>
      <c r="E3">
        <f>IFERROR(IF(SETTINGS!$B$4="ON",MAX(SETTINGS!$B$6,ROUND(D3/SETTINGS!$B$12*10/SETTINGS!$B$10,3))*0.5,MAX(SETTINGS!$B$6,ROUND(D3/SETTINGS!$B$12*10/SETTINGS!$B$10,3))),"")</f>
        <v/>
      </c>
      <c r="F3">
        <f>IFERROR(ROUND(E3*SETTINGS!$B$10*SETTINGS!$B$11,2),"")</f>
        <v/>
      </c>
      <c r="G3" t="inlineStr">
        <is>
          <t>EURUSD only</t>
        </is>
      </c>
      <c r="H3" t="inlineStr">
        <is>
          <t>BUILDING</t>
        </is>
      </c>
      <c r="I3" t="inlineStr">
        <is>
          <t>Stay disciplined</t>
        </is>
      </c>
      <c r="J3">
        <f>IF(AND(SETTINGS!$B$2&gt;=B3,SETTINGS!$B$2&lt;=C3),"←","")</f>
        <v/>
      </c>
    </row>
    <row r="4">
      <c r="A4" t="inlineStr">
        <is>
          <t>$35–$59</t>
        </is>
      </c>
      <c r="B4" t="n">
        <v>35</v>
      </c>
      <c r="C4" t="n">
        <v>59</v>
      </c>
      <c r="D4">
        <f>IFERROR(ROUND(SETTINGS!$B$2*SETTINGS!$B$13,2),"")</f>
        <v/>
      </c>
      <c r="E4">
        <f>IFERROR(IF(SETTINGS!$B$4="ON",MAX(SETTINGS!$B$6,ROUND(D4/SETTINGS!$B$12*10/SETTINGS!$B$10,3))*0.5,MAX(SETTINGS!$B$6,ROUND(D4/SETTINGS!$B$12*10/SETTINGS!$B$10,3))),"")</f>
        <v/>
      </c>
      <c r="F4">
        <f>IFERROR(ROUND(E4*SETTINGS!$B$10*SETTINGS!$B$11,2),"")</f>
        <v/>
      </c>
      <c r="G4" t="inlineStr">
        <is>
          <t>EURUSD + GBPUSD</t>
        </is>
      </c>
      <c r="H4" t="inlineStr">
        <is>
          <t>MOMENTUM</t>
        </is>
      </c>
      <c r="I4" t="inlineStr">
        <is>
          <t>Add GU after consistency</t>
        </is>
      </c>
      <c r="J4">
        <f>IF(AND(SETTINGS!$B$2&gt;=B4,SETTINGS!$B$2&lt;=C4),"←","")</f>
        <v/>
      </c>
    </row>
    <row r="5">
      <c r="A5" t="inlineStr">
        <is>
          <t>$60–$99</t>
        </is>
      </c>
      <c r="B5" t="n">
        <v>60</v>
      </c>
      <c r="C5" t="n">
        <v>99</v>
      </c>
      <c r="D5">
        <f>IFERROR(ROUND(SETTINGS!$B$2*SETTINGS!$B$13,2),"")</f>
        <v/>
      </c>
      <c r="E5">
        <f>IFERROR(IF(SETTINGS!$B$4="ON",MAX(SETTINGS!$B$6,ROUND(D5/SETTINGS!$B$12*10/SETTINGS!$B$10,3))*0.5,MAX(SETTINGS!$B$6,ROUND(D5/SETTINGS!$B$12*10/SETTINGS!$B$10,3))),"")</f>
        <v/>
      </c>
      <c r="F5">
        <f>IFERROR(ROUND(E5*SETTINGS!$B$10*SETTINGS!$B$11,2),"")</f>
        <v/>
      </c>
      <c r="G5" t="inlineStr">
        <is>
          <t>EURUSD + GBPUSD + NAS100</t>
        </is>
      </c>
      <c r="H5" t="inlineStr">
        <is>
          <t>ACCELERATION</t>
        </is>
      </c>
      <c r="I5" t="inlineStr">
        <is>
          <t>Add NAS only when focused</t>
        </is>
      </c>
      <c r="J5">
        <f>IF(AND(SETTINGS!$B$2&gt;=B5,SETTINGS!$B$2&lt;=C5),"←","")</f>
        <v/>
      </c>
    </row>
    <row r="6">
      <c r="A6" t="inlineStr">
        <is>
          <t>$100–$149</t>
        </is>
      </c>
      <c r="B6" t="n">
        <v>100</v>
      </c>
      <c r="C6" t="n">
        <v>149</v>
      </c>
      <c r="D6">
        <f>IFERROR(ROUND(SETTINGS!$B$2*SETTINGS!$B$13,2),"")</f>
        <v/>
      </c>
      <c r="E6">
        <f>IFERROR(IF(SETTINGS!$B$4="ON",MAX(SETTINGS!$B$6,ROUND(D6/SETTINGS!$B$12*10/SETTINGS!$B$10,3))*0.5,MAX(SETTINGS!$B$6,ROUND(D6/SETTINGS!$B$12*10/SETTINGS!$B$10,3))),"")</f>
        <v/>
      </c>
      <c r="F6">
        <f>IFERROR(ROUND(E6*SETTINGS!$B$10*SETTINGS!$B$11,2),"")</f>
        <v/>
      </c>
      <c r="G6" t="inlineStr">
        <is>
          <t>All FX + NAS100</t>
        </is>
      </c>
      <c r="H6" t="inlineStr">
        <is>
          <t>FIRST WITHDRAW</t>
        </is>
      </c>
      <c r="I6" t="inlineStr">
        <is>
          <t>Withdraw a portion</t>
        </is>
      </c>
      <c r="J6">
        <f>IF(AND(SETTINGS!$B$2&gt;=B6,SETTINGS!$B$2&lt;=C6),"←","")</f>
        <v/>
      </c>
    </row>
    <row r="7">
      <c r="A7" t="inlineStr">
        <is>
          <t>$150–$299</t>
        </is>
      </c>
      <c r="B7" t="n">
        <v>150</v>
      </c>
      <c r="C7" t="n">
        <v>299</v>
      </c>
      <c r="D7">
        <f>IFERROR(ROUND(SETTINGS!$B$2*SETTINGS!$B$13,2),"")</f>
        <v/>
      </c>
      <c r="E7">
        <f>IFERROR(IF(SETTINGS!$B$4="ON",MAX(SETTINGS!$B$6,ROUND(D7/SETTINGS!$B$12*10/SETTINGS!$B$10,3))*0.5,MAX(SETTINGS!$B$6,ROUND(D7/SETTINGS!$B$12*10/SETTINGS!$B$10,3))),"")</f>
        <v/>
      </c>
      <c r="F7">
        <f>IFERROR(ROUND(E7*SETTINGS!$B$10*SETTINGS!$B$11,2),"")</f>
        <v/>
      </c>
      <c r="G7" t="inlineStr">
        <is>
          <t>All FX + NAS100</t>
        </is>
      </c>
      <c r="H7" t="inlineStr">
        <is>
          <t>HOUSE MONEY</t>
        </is>
      </c>
      <c r="I7" t="inlineStr">
        <is>
          <t>Trading mostly profits</t>
        </is>
      </c>
      <c r="J7">
        <f>IF(AND(SETTINGS!$B$2&gt;=B7,SETTINGS!$B$2&lt;=C7),"←","")</f>
        <v/>
      </c>
    </row>
    <row r="8">
      <c r="A8" t="inlineStr">
        <is>
          <t>$300–$449</t>
        </is>
      </c>
      <c r="B8" t="n">
        <v>300</v>
      </c>
      <c r="C8" t="n">
        <v>449</v>
      </c>
      <c r="D8">
        <f>IFERROR(ROUND(SETTINGS!$B$2*SETTINGS!$B$13,2),"")</f>
        <v/>
      </c>
      <c r="E8">
        <f>IFERROR(IF(SETTINGS!$B$4="ON",MAX(SETTINGS!$B$6,ROUND(D8/SETTINGS!$B$12*10/SETTINGS!$B$10,3))*0.5,MAX(SETTINGS!$B$6,ROUND(D8/SETTINGS!$B$12*10/SETTINGS!$B$10,3))),"")</f>
        <v/>
      </c>
      <c r="F8">
        <f>IFERROR(ROUND(E8*SETTINGS!$B$10*SETTINGS!$B$11,2),"")</f>
        <v/>
      </c>
      <c r="G8" t="inlineStr">
        <is>
          <t>NAS100 + XAUUSD</t>
        </is>
      </c>
      <c r="H8" t="inlineStr">
        <is>
          <t>SERIOUS</t>
        </is>
      </c>
      <c r="I8" t="inlineStr">
        <is>
          <t>Focus on A+ setups</t>
        </is>
      </c>
      <c r="J8">
        <f>IF(AND(SETTINGS!$B$2&gt;=B8,SETTINGS!$B$2&lt;=C8),"←","")</f>
        <v/>
      </c>
    </row>
    <row r="9">
      <c r="A9" t="inlineStr">
        <is>
          <t>$450–$899</t>
        </is>
      </c>
      <c r="B9" t="n">
        <v>450</v>
      </c>
      <c r="C9" t="n">
        <v>899</v>
      </c>
      <c r="D9">
        <f>IFERROR(ROUND(SETTINGS!$B$2*SETTINGS!$B$13,2),"")</f>
        <v/>
      </c>
      <c r="E9">
        <f>IFERROR(IF(SETTINGS!$B$4="ON",MAX(SETTINGS!$B$6,ROUND(D9/SETTINGS!$B$12*10/SETTINGS!$B$10,3))*0.5,MAX(SETTINGS!$B$6,ROUND(D9/SETTINGS!$B$12*10/SETTINGS!$B$10,3))),"")</f>
        <v/>
      </c>
      <c r="F9">
        <f>IFERROR(ROUND(E9*SETTINGS!$B$10*SETTINGS!$B$11,2),"")</f>
        <v/>
      </c>
      <c r="G9" t="inlineStr">
        <is>
          <t>NAS100 + XAUUSD</t>
        </is>
      </c>
      <c r="H9" t="inlineStr">
        <is>
          <t>SCALING</t>
        </is>
      </c>
      <c r="I9" t="inlineStr">
        <is>
          <t>Keep risk under control</t>
        </is>
      </c>
      <c r="J9">
        <f>IF(AND(SETTINGS!$B$2&gt;=B9,SETTINGS!$B$2&lt;=C9),"←","")</f>
        <v/>
      </c>
    </row>
    <row r="10">
      <c r="A10" t="inlineStr">
        <is>
          <t>$900–$1999</t>
        </is>
      </c>
      <c r="B10" t="n">
        <v>900</v>
      </c>
      <c r="C10" t="n">
        <v>1999</v>
      </c>
      <c r="D10">
        <f>IFERROR(ROUND(SETTINGS!$B$2*SETTINGS!$B$13,2),"")</f>
        <v/>
      </c>
      <c r="E10">
        <f>IFERROR(IF(SETTINGS!$B$4="ON",MAX(SETTINGS!$B$6,ROUND(D10/SETTINGS!$B$12*10/SETTINGS!$B$10,3))*0.5,MAX(SETTINGS!$B$6,ROUND(D10/SETTINGS!$B$12*10/SETTINGS!$B$10,3))),"")</f>
        <v/>
      </c>
      <c r="F10">
        <f>IFERROR(ROUND(E10*SETTINGS!$B$10*SETTINGS!$B$11,2),"")</f>
        <v/>
      </c>
      <c r="G10" t="inlineStr">
        <is>
          <t>NAS100 + XAUUSD</t>
        </is>
      </c>
      <c r="H10" t="inlineStr">
        <is>
          <t>FOUR FIGURES</t>
        </is>
      </c>
      <c r="I10" t="inlineStr">
        <is>
          <t>Protect capital</t>
        </is>
      </c>
      <c r="J10">
        <f>IF(AND(SETTINGS!$B$2&gt;=B10,SETTINGS!$B$2&lt;=C10),"←","")</f>
        <v/>
      </c>
    </row>
    <row r="11">
      <c r="A11" t="inlineStr">
        <is>
          <t>$2000–$4999</t>
        </is>
      </c>
      <c r="B11" t="n">
        <v>2000</v>
      </c>
      <c r="C11" t="n">
        <v>4999</v>
      </c>
      <c r="D11">
        <f>IFERROR(ROUND(SETTINGS!$B$2*SETTINGS!$B$13,2),"")</f>
        <v/>
      </c>
      <c r="E11">
        <f>IFERROR(IF(SETTINGS!$B$4="ON",MAX(SETTINGS!$B$6,ROUND(D11/SETTINGS!$B$12*10/SETTINGS!$B$10,3))*0.5,MAX(SETTINGS!$B$6,ROUND(D11/SETTINGS!$B$12*10/SETTINGS!$B$10,3))),"")</f>
        <v/>
      </c>
      <c r="F11">
        <f>IFERROR(ROUND(E11*SETTINGS!$B$10*SETTINGS!$B$11,2),"")</f>
        <v/>
      </c>
      <c r="G11" t="inlineStr">
        <is>
          <t>NAS100 + XAUUSD</t>
        </is>
      </c>
      <c r="H11" t="inlineStr">
        <is>
          <t>PRO</t>
        </is>
      </c>
      <c r="I11" t="inlineStr">
        <is>
          <t>Treat as a business</t>
        </is>
      </c>
      <c r="J11">
        <f>IF(AND(SETTINGS!$B$2&gt;=B11,SETTINGS!$B$2&lt;=C11),"←","")</f>
        <v/>
      </c>
    </row>
    <row r="12">
      <c r="A12" t="inlineStr">
        <is>
          <t>$5000–$9999</t>
        </is>
      </c>
      <c r="B12" t="n">
        <v>5000</v>
      </c>
      <c r="C12" t="n">
        <v>9999</v>
      </c>
      <c r="D12">
        <f>IFERROR(ROUND(SETTINGS!$B$2*SETTINGS!$B$13,2),"")</f>
        <v/>
      </c>
      <c r="E12">
        <f>IFERROR(IF(SETTINGS!$B$4="ON",MAX(SETTINGS!$B$6,ROUND(D12/SETTINGS!$B$12*10/SETTINGS!$B$10,3))*0.5,MAX(SETTINGS!$B$6,ROUND(D12/SETTINGS!$B$12*10/SETTINGS!$B$10,3))),"")</f>
        <v/>
      </c>
      <c r="F12">
        <f>IFERROR(ROUND(E12*SETTINGS!$B$10*SETTINGS!$B$11,2),"")</f>
        <v/>
      </c>
      <c r="G12" t="inlineStr">
        <is>
          <t>NAS100 + XAUUSD</t>
        </is>
      </c>
      <c r="H12" t="inlineStr">
        <is>
          <t>ELITE</t>
        </is>
      </c>
      <c r="I12" t="inlineStr">
        <is>
          <t>Top-tier discipline</t>
        </is>
      </c>
      <c r="J12">
        <f>IF(AND(SETTINGS!$B$2&gt;=B12,SETTINGS!$B$2&lt;=C12),"←","")</f>
        <v/>
      </c>
    </row>
    <row r="13">
      <c r="A13" t="inlineStr">
        <is>
          <t>$10000+</t>
        </is>
      </c>
      <c r="B13" t="n">
        <v>10000</v>
      </c>
      <c r="C13" t="n">
        <v>999999</v>
      </c>
      <c r="D13">
        <f>IFERROR(ROUND(SETTINGS!$B$2*SETTINGS!$B$13,2),"")</f>
        <v/>
      </c>
      <c r="E13">
        <f>IFERROR(IF(SETTINGS!$B$4="ON",MAX(SETTINGS!$B$6,ROUND(D13/SETTINGS!$B$12*10/SETTINGS!$B$10,3))*0.5,MAX(SETTINGS!$B$6,ROUND(D13/SETTINGS!$B$12*10/SETTINGS!$B$10,3))),"")</f>
        <v/>
      </c>
      <c r="F13">
        <f>IFERROR(ROUND(E13*SETTINGS!$B$10*SETTINGS!$B$11,2),"")</f>
        <v/>
      </c>
      <c r="G13" t="inlineStr">
        <is>
          <t>Whatever works</t>
        </is>
      </c>
      <c r="H13" t="inlineStr">
        <is>
          <t>YOU WON</t>
        </is>
      </c>
      <c r="I13" t="inlineStr">
        <is>
          <t>Give back, stay sharp</t>
        </is>
      </c>
      <c r="J13">
        <f>IF(AND(SETTINGS!$B$2&gt;=B13,SETTINGS!$B$2&lt;=C13),"←","")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6:C15"/>
  <sheetViews>
    <sheetView workbookViewId="0">
      <selection activeCell="A1" sqref="A1"/>
    </sheetView>
  </sheetViews>
  <sheetFormatPr baseColWidth="8" defaultRowHeight="15"/>
  <sheetData>
    <row r="6">
      <c r="B6" t="inlineStr">
        <is>
          <t>Balance:</t>
        </is>
      </c>
      <c r="C6">
        <f>IFERROR(SETTINGS!B2,"")</f>
        <v/>
      </c>
    </row>
    <row r="7">
      <c r="B7" t="inlineStr">
        <is>
          <t>Broker:</t>
        </is>
      </c>
      <c r="C7">
        <f>SETTINGS!B3</f>
        <v/>
      </c>
    </row>
    <row r="8">
      <c r="B8" t="inlineStr">
        <is>
          <t>Tier:</t>
        </is>
      </c>
      <c r="C8">
        <f>IFERROR(INDEX('TRADING PLAN'!H:H, MATCH("←", 'TRADING PLAN'!J:J, 0)),"")</f>
        <v/>
      </c>
    </row>
    <row r="10">
      <c r="B10" t="inlineStr">
        <is>
          <t>Lot Size:</t>
        </is>
      </c>
      <c r="C10">
        <f>IFERROR(INDEX('TRADING PLAN'!E:E, MATCH("←", 'TRADING PLAN'!J:J, 0)),"")</f>
        <v/>
      </c>
    </row>
    <row r="11">
      <c r="B11" t="inlineStr">
        <is>
          <t>Max Loss:</t>
        </is>
      </c>
      <c r="C11">
        <f>IFERROR(INDEX('TRADING PLAN'!F:F, MATCH("←", 'TRADING PLAN'!J:J, 0)),"")</f>
        <v/>
      </c>
    </row>
    <row r="12">
      <c r="B12" t="inlineStr">
        <is>
          <t>Daily Goal:</t>
        </is>
      </c>
      <c r="C12">
        <f>IFERROR(INDEX('TRADING PLAN'!D:D, MATCH("←", 'TRADING PLAN'!J:J, 0)),"")</f>
        <v/>
      </c>
    </row>
    <row r="13">
      <c r="B13" t="inlineStr">
        <is>
          <t>Allowed Pairs:</t>
        </is>
      </c>
      <c r="C13">
        <f>IFERROR(INDEX('TRADING PLAN'!G:G, MATCH("←", 'TRADING PLAN'!J:J, 0)),"")</f>
        <v/>
      </c>
    </row>
    <row r="15">
      <c r="B15" t="inlineStr">
        <is>
          <t>Safe Mode:</t>
        </is>
      </c>
      <c r="C15">
        <f>SETTINGS!B4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Direction</t>
        </is>
      </c>
      <c r="D1" t="inlineStr">
        <is>
          <t>Entry</t>
        </is>
      </c>
      <c r="E1" t="inlineStr">
        <is>
          <t>Exit</t>
        </is>
      </c>
      <c r="F1" t="inlineStr">
        <is>
          <t>P&amp;L</t>
        </is>
      </c>
      <c r="G1" t="inlineStr">
        <is>
          <t>Notes</t>
        </is>
      </c>
      <c r="H1" t="inlineStr">
        <is>
          <t>Lots</t>
        </is>
      </c>
    </row>
    <row r="2">
      <c r="A2">
        <f>IF(B2&lt;&gt;"", IF(A2="", TODAY(), A2), "")</f>
        <v/>
      </c>
      <c r="F2">
        <f>IF(AND(D2&lt;&gt;"",E2&lt;&gt;"",H2&lt;&gt;""), IF(C2="Short", (D2-E2)*H2*100*SETTINGS!$B$10, (E2-D2)*H2*100*SETTINGS!$B$10), "")</f>
        <v/>
      </c>
      <c r="H2">
        <f>IFERROR(INDEX('TRADING PLAN'!E:E, MATCH("←", 'TRADING PLAN'!J:J, 0)),"")</f>
        <v/>
      </c>
    </row>
    <row r="3">
      <c r="A3">
        <f>IF(B3&lt;&gt;"", IF(A3="", TODAY(), A3), "")</f>
        <v/>
      </c>
      <c r="F3">
        <f>IF(AND(D3&lt;&gt;"",E3&lt;&gt;"",H3&lt;&gt;""), IF(C3="Short", (D3-E3)*H3*100*SETTINGS!$B$10, (E3-D3)*H3*100*SETTINGS!$B$10), "")</f>
        <v/>
      </c>
      <c r="H3">
        <f>IFERROR(INDEX('TRADING PLAN'!E:E, MATCH("←", 'TRADING PLAN'!J:J, 0)),"")</f>
        <v/>
      </c>
    </row>
    <row r="4">
      <c r="A4">
        <f>IF(B4&lt;&gt;"", IF(A4="", TODAY(), A4), "")</f>
        <v/>
      </c>
      <c r="F4">
        <f>IF(AND(D4&lt;&gt;"",E4&lt;&gt;"",H4&lt;&gt;""), IF(C4="Short", (D4-E4)*H4*100*SETTINGS!$B$10, (E4-D4)*H4*100*SETTINGS!$B$10), "")</f>
        <v/>
      </c>
      <c r="H4">
        <f>IFERROR(INDEX('TRADING PLAN'!E:E, MATCH("←", 'TRADING PLAN'!J:J, 0)),"")</f>
        <v/>
      </c>
    </row>
    <row r="5">
      <c r="A5">
        <f>IF(B5&lt;&gt;"", IF(A5="", TODAY(), A5), "")</f>
        <v/>
      </c>
      <c r="F5">
        <f>IF(AND(D5&lt;&gt;"",E5&lt;&gt;"",H5&lt;&gt;""), IF(C5="Short", (D5-E5)*H5*100*SETTINGS!$B$10, (E5-D5)*H5*100*SETTINGS!$B$10), "")</f>
        <v/>
      </c>
      <c r="H5">
        <f>IFERROR(INDEX('TRADING PLAN'!E:E, MATCH("←", 'TRADING PLAN'!J:J, 0)),"")</f>
        <v/>
      </c>
    </row>
    <row r="6">
      <c r="A6">
        <f>IF(B6&lt;&gt;"", IF(A6="", TODAY(), A6), "")</f>
        <v/>
      </c>
      <c r="F6">
        <f>IF(AND(D6&lt;&gt;"",E6&lt;&gt;"",H6&lt;&gt;""), IF(C6="Short", (D6-E6)*H6*100*SETTINGS!$B$10, (E6-D6)*H6*100*SETTINGS!$B$10), "")</f>
        <v/>
      </c>
      <c r="H6">
        <f>IFERROR(INDEX('TRADING PLAN'!E:E, MATCH("←", 'TRADING PLAN'!J:J, 0)),"")</f>
        <v/>
      </c>
    </row>
    <row r="7">
      <c r="A7">
        <f>IF(B7&lt;&gt;"", IF(A7="", TODAY(), A7), "")</f>
        <v/>
      </c>
      <c r="F7">
        <f>IF(AND(D7&lt;&gt;"",E7&lt;&gt;"",H7&lt;&gt;""), IF(C7="Short", (D7-E7)*H7*100*SETTINGS!$B$10, (E7-D7)*H7*100*SETTINGS!$B$10), "")</f>
        <v/>
      </c>
      <c r="H7">
        <f>IFERROR(INDEX('TRADING PLAN'!E:E, MATCH("←", 'TRADING PLAN'!J:J, 0)),"")</f>
        <v/>
      </c>
    </row>
    <row r="8">
      <c r="A8">
        <f>IF(B8&lt;&gt;"", IF(A8="", TODAY(), A8), "")</f>
        <v/>
      </c>
      <c r="F8">
        <f>IF(AND(D8&lt;&gt;"",E8&lt;&gt;"",H8&lt;&gt;""), IF(C8="Short", (D8-E8)*H8*100*SETTINGS!$B$10, (E8-D8)*H8*100*SETTINGS!$B$10), "")</f>
        <v/>
      </c>
      <c r="H8">
        <f>IFERROR(INDEX('TRADING PLAN'!E:E, MATCH("←", 'TRADING PLAN'!J:J, 0)),"")</f>
        <v/>
      </c>
    </row>
    <row r="9">
      <c r="A9">
        <f>IF(B9&lt;&gt;"", IF(A9="", TODAY(), A9), "")</f>
        <v/>
      </c>
      <c r="F9">
        <f>IF(AND(D9&lt;&gt;"",E9&lt;&gt;"",H9&lt;&gt;""), IF(C9="Short", (D9-E9)*H9*100*SETTINGS!$B$10, (E9-D9)*H9*100*SETTINGS!$B$10), "")</f>
        <v/>
      </c>
      <c r="H9">
        <f>IFERROR(INDEX('TRADING PLAN'!E:E, MATCH("←", 'TRADING PLAN'!J:J, 0)),"")</f>
        <v/>
      </c>
    </row>
    <row r="10">
      <c r="A10">
        <f>IF(B10&lt;&gt;"", IF(A10="", TODAY(), A10), "")</f>
        <v/>
      </c>
      <c r="F10">
        <f>IF(AND(D10&lt;&gt;"",E10&lt;&gt;"",H10&lt;&gt;""), IF(C10="Short", (D10-E10)*H10*100*SETTINGS!$B$10, (E10-D10)*H10*100*SETTINGS!$B$10), "")</f>
        <v/>
      </c>
      <c r="H10">
        <f>IFERROR(INDEX('TRADING PLAN'!E:E, MATCH("←", 'TRADING PLAN'!J:J, 0)),"")</f>
        <v/>
      </c>
    </row>
    <row r="11">
      <c r="A11">
        <f>IF(B11&lt;&gt;"", IF(A11="", TODAY(), A11), "")</f>
        <v/>
      </c>
      <c r="F11">
        <f>IF(AND(D11&lt;&gt;"",E11&lt;&gt;"",H11&lt;&gt;""), IF(C11="Short", (D11-E11)*H11*100*SETTINGS!$B$10, (E11-D11)*H11*100*SETTINGS!$B$10), "")</f>
        <v/>
      </c>
      <c r="H11">
        <f>IFERROR(INDEX('TRADING PLAN'!E:E, MATCH("←", 'TRADING PLAN'!J:J, 0)),"")</f>
        <v/>
      </c>
    </row>
    <row r="12">
      <c r="A12">
        <f>IF(B12&lt;&gt;"", IF(A12="", TODAY(), A12), "")</f>
        <v/>
      </c>
      <c r="F12">
        <f>IF(AND(D12&lt;&gt;"",E12&lt;&gt;"",H12&lt;&gt;""), IF(C12="Short", (D12-E12)*H12*100*SETTINGS!$B$10, (E12-D12)*H12*100*SETTINGS!$B$10), "")</f>
        <v/>
      </c>
      <c r="H12">
        <f>IFERROR(INDEX('TRADING PLAN'!E:E, MATCH("←", 'TRADING PLAN'!J:J, 0)),"")</f>
        <v/>
      </c>
    </row>
    <row r="13">
      <c r="A13">
        <f>IF(B13&lt;&gt;"", IF(A13="", TODAY(), A13), "")</f>
        <v/>
      </c>
      <c r="F13">
        <f>IF(AND(D13&lt;&gt;"",E13&lt;&gt;"",H13&lt;&gt;""), IF(C13="Short", (D13-E13)*H13*100*SETTINGS!$B$10, (E13-D13)*H13*100*SETTINGS!$B$10), "")</f>
        <v/>
      </c>
      <c r="H13">
        <f>IFERROR(INDEX('TRADING PLAN'!E:E, MATCH("←", 'TRADING PLAN'!J:J, 0)),"")</f>
        <v/>
      </c>
    </row>
    <row r="14">
      <c r="A14">
        <f>IF(B14&lt;&gt;"", IF(A14="", TODAY(), A14), "")</f>
        <v/>
      </c>
      <c r="F14">
        <f>IF(AND(D14&lt;&gt;"",E14&lt;&gt;"",H14&lt;&gt;""), IF(C14="Short", (D14-E14)*H14*100*SETTINGS!$B$10, (E14-D14)*H14*100*SETTINGS!$B$10), "")</f>
        <v/>
      </c>
      <c r="H14">
        <f>IFERROR(INDEX('TRADING PLAN'!E:E, MATCH("←", 'TRADING PLAN'!J:J, 0)),"")</f>
        <v/>
      </c>
    </row>
    <row r="15">
      <c r="A15">
        <f>IF(B15&lt;&gt;"", IF(A15="", TODAY(), A15), "")</f>
        <v/>
      </c>
      <c r="F15">
        <f>IF(AND(D15&lt;&gt;"",E15&lt;&gt;"",H15&lt;&gt;""), IF(C15="Short", (D15-E15)*H15*100*SETTINGS!$B$10, (E15-D15)*H15*100*SETTINGS!$B$10), "")</f>
        <v/>
      </c>
      <c r="H15">
        <f>IFERROR(INDEX('TRADING PLAN'!E:E, MATCH("←", 'TRADING PLAN'!J:J, 0)),"")</f>
        <v/>
      </c>
    </row>
    <row r="16">
      <c r="A16">
        <f>IF(B16&lt;&gt;"", IF(A16="", TODAY(), A16), "")</f>
        <v/>
      </c>
      <c r="F16">
        <f>IF(AND(D16&lt;&gt;"",E16&lt;&gt;"",H16&lt;&gt;""), IF(C16="Short", (D16-E16)*H16*100*SETTINGS!$B$10, (E16-D16)*H16*100*SETTINGS!$B$10), "")</f>
        <v/>
      </c>
      <c r="H16">
        <f>IFERROR(INDEX('TRADING PLAN'!E:E, MATCH("←", 'TRADING PLAN'!J:J, 0)),"")</f>
        <v/>
      </c>
    </row>
    <row r="17">
      <c r="A17">
        <f>IF(B17&lt;&gt;"", IF(A17="", TODAY(), A17), "")</f>
        <v/>
      </c>
      <c r="F17">
        <f>IF(AND(D17&lt;&gt;"",E17&lt;&gt;"",H17&lt;&gt;""), IF(C17="Short", (D17-E17)*H17*100*SETTINGS!$B$10, (E17-D17)*H17*100*SETTINGS!$B$10), "")</f>
        <v/>
      </c>
      <c r="H17">
        <f>IFERROR(INDEX('TRADING PLAN'!E:E, MATCH("←", 'TRADING PLAN'!J:J, 0)),"")</f>
        <v/>
      </c>
    </row>
    <row r="18">
      <c r="A18">
        <f>IF(B18&lt;&gt;"", IF(A18="", TODAY(), A18), "")</f>
        <v/>
      </c>
      <c r="F18">
        <f>IF(AND(D18&lt;&gt;"",E18&lt;&gt;"",H18&lt;&gt;""), IF(C18="Short", (D18-E18)*H18*100*SETTINGS!$B$10, (E18-D18)*H18*100*SETTINGS!$B$10), "")</f>
        <v/>
      </c>
      <c r="H18">
        <f>IFERROR(INDEX('TRADING PLAN'!E:E, MATCH("←", 'TRADING PLAN'!J:J, 0)),"")</f>
        <v/>
      </c>
    </row>
    <row r="19">
      <c r="A19">
        <f>IF(B19&lt;&gt;"", IF(A19="", TODAY(), A19), "")</f>
        <v/>
      </c>
      <c r="F19">
        <f>IF(AND(D19&lt;&gt;"",E19&lt;&gt;"",H19&lt;&gt;""), IF(C19="Short", (D19-E19)*H19*100*SETTINGS!$B$10, (E19-D19)*H19*100*SETTINGS!$B$10), "")</f>
        <v/>
      </c>
      <c r="H19">
        <f>IFERROR(INDEX('TRADING PLAN'!E:E, MATCH("←", 'TRADING PLAN'!J:J, 0)),"")</f>
        <v/>
      </c>
    </row>
    <row r="20">
      <c r="A20">
        <f>IF(B20&lt;&gt;"", IF(A20="", TODAY(), A20), "")</f>
        <v/>
      </c>
      <c r="F20">
        <f>IF(AND(D20&lt;&gt;"",E20&lt;&gt;"",H20&lt;&gt;""), IF(C20="Short", (D20-E20)*H20*100*SETTINGS!$B$10, (E20-D20)*H20*100*SETTINGS!$B$10), "")</f>
        <v/>
      </c>
      <c r="H20">
        <f>IFERROR(INDEX('TRADING PLAN'!E:E, MATCH("←", 'TRADING PLAN'!J:J, 0)),"")</f>
        <v/>
      </c>
    </row>
    <row r="21">
      <c r="A21">
        <f>IF(B21&lt;&gt;"", IF(A21="", TODAY(), A21), "")</f>
        <v/>
      </c>
      <c r="F21">
        <f>IF(AND(D21&lt;&gt;"",E21&lt;&gt;"",H21&lt;&gt;""), IF(C21="Short", (D21-E21)*H21*100*SETTINGS!$B$10, (E21-D21)*H21*100*SETTINGS!$B$10), "")</f>
        <v/>
      </c>
      <c r="H21">
        <f>IFERROR(INDEX('TRADING PLAN'!E:E, MATCH("←", 'TRADING PLAN'!J:J, 0)),"")</f>
        <v/>
      </c>
    </row>
    <row r="22">
      <c r="A22">
        <f>IF(B22&lt;&gt;"", IF(A22="", TODAY(), A22), "")</f>
        <v/>
      </c>
      <c r="F22">
        <f>IF(AND(D22&lt;&gt;"",E22&lt;&gt;"",H22&lt;&gt;""), IF(C22="Short", (D22-E22)*H22*100*SETTINGS!$B$10, (E22-D22)*H22*100*SETTINGS!$B$10), "")</f>
        <v/>
      </c>
      <c r="H22">
        <f>IFERROR(INDEX('TRADING PLAN'!E:E, MATCH("←", 'TRADING PLAN'!J:J, 0)),"")</f>
        <v/>
      </c>
    </row>
    <row r="23">
      <c r="A23">
        <f>IF(B23&lt;&gt;"", IF(A23="", TODAY(), A23), "")</f>
        <v/>
      </c>
      <c r="F23">
        <f>IF(AND(D23&lt;&gt;"",E23&lt;&gt;"",H23&lt;&gt;""), IF(C23="Short", (D23-E23)*H23*100*SETTINGS!$B$10, (E23-D23)*H23*100*SETTINGS!$B$10), "")</f>
        <v/>
      </c>
      <c r="H23">
        <f>IFERROR(INDEX('TRADING PLAN'!E:E, MATCH("←", 'TRADING PLAN'!J:J, 0)),"")</f>
        <v/>
      </c>
    </row>
    <row r="24">
      <c r="A24">
        <f>IF(B24&lt;&gt;"", IF(A24="", TODAY(), A24), "")</f>
        <v/>
      </c>
      <c r="F24">
        <f>IF(AND(D24&lt;&gt;"",E24&lt;&gt;"",H24&lt;&gt;""), IF(C24="Short", (D24-E24)*H24*100*SETTINGS!$B$10, (E24-D24)*H24*100*SETTINGS!$B$10), "")</f>
        <v/>
      </c>
      <c r="H24">
        <f>IFERROR(INDEX('TRADING PLAN'!E:E, MATCH("←", 'TRADING PLAN'!J:J, 0)),"")</f>
        <v/>
      </c>
    </row>
    <row r="25">
      <c r="A25">
        <f>IF(B25&lt;&gt;"", IF(A25="", TODAY(), A25), "")</f>
        <v/>
      </c>
      <c r="F25">
        <f>IF(AND(D25&lt;&gt;"",E25&lt;&gt;"",H25&lt;&gt;""), IF(C25="Short", (D25-E25)*H25*100*SETTINGS!$B$10, (E25-D25)*H25*100*SETTINGS!$B$10), "")</f>
        <v/>
      </c>
      <c r="H25">
        <f>IFERROR(INDEX('TRADING PLAN'!E:E, MATCH("←", 'TRADING PLAN'!J:J, 0)),"")</f>
        <v/>
      </c>
    </row>
    <row r="26">
      <c r="A26">
        <f>IF(B26&lt;&gt;"", IF(A26="", TODAY(), A26), "")</f>
        <v/>
      </c>
      <c r="F26">
        <f>IF(AND(D26&lt;&gt;"",E26&lt;&gt;"",H26&lt;&gt;""), IF(C26="Short", (D26-E26)*H26*100*SETTINGS!$B$10, (E26-D26)*H26*100*SETTINGS!$B$10), "")</f>
        <v/>
      </c>
      <c r="H26">
        <f>IFERROR(INDEX('TRADING PLAN'!E:E, MATCH("←", 'TRADING PLAN'!J:J, 0)),"")</f>
        <v/>
      </c>
    </row>
    <row r="27">
      <c r="A27">
        <f>IF(B27&lt;&gt;"", IF(A27="", TODAY(), A27), "")</f>
        <v/>
      </c>
      <c r="F27">
        <f>IF(AND(D27&lt;&gt;"",E27&lt;&gt;"",H27&lt;&gt;""), IF(C27="Short", (D27-E27)*H27*100*SETTINGS!$B$10, (E27-D27)*H27*100*SETTINGS!$B$10), "")</f>
        <v/>
      </c>
      <c r="H27">
        <f>IFERROR(INDEX('TRADING PLAN'!E:E, MATCH("←", 'TRADING PLAN'!J:J, 0)),"")</f>
        <v/>
      </c>
    </row>
    <row r="28">
      <c r="A28">
        <f>IF(B28&lt;&gt;"", IF(A28="", TODAY(), A28), "")</f>
        <v/>
      </c>
      <c r="F28">
        <f>IF(AND(D28&lt;&gt;"",E28&lt;&gt;"",H28&lt;&gt;""), IF(C28="Short", (D28-E28)*H28*100*SETTINGS!$B$10, (E28-D28)*H28*100*SETTINGS!$B$10), "")</f>
        <v/>
      </c>
      <c r="H28">
        <f>IFERROR(INDEX('TRADING PLAN'!E:E, MATCH("←", 'TRADING PLAN'!J:J, 0)),"")</f>
        <v/>
      </c>
    </row>
    <row r="29">
      <c r="A29">
        <f>IF(B29&lt;&gt;"", IF(A29="", TODAY(), A29), "")</f>
        <v/>
      </c>
      <c r="F29">
        <f>IF(AND(D29&lt;&gt;"",E29&lt;&gt;"",H29&lt;&gt;""), IF(C29="Short", (D29-E29)*H29*100*SETTINGS!$B$10, (E29-D29)*H29*100*SETTINGS!$B$10), "")</f>
        <v/>
      </c>
      <c r="H29">
        <f>IFERROR(INDEX('TRADING PLAN'!E:E, MATCH("←", 'TRADING PLAN'!J:J, 0)),"")</f>
        <v/>
      </c>
    </row>
    <row r="30">
      <c r="A30">
        <f>IF(B30&lt;&gt;"", IF(A30="", TODAY(), A30), "")</f>
        <v/>
      </c>
      <c r="F30">
        <f>IF(AND(D30&lt;&gt;"",E30&lt;&gt;"",H30&lt;&gt;""), IF(C30="Short", (D30-E30)*H30*100*SETTINGS!$B$10, (E30-D30)*H30*100*SETTINGS!$B$10), "")</f>
        <v/>
      </c>
      <c r="H30">
        <f>IFERROR(INDEX('TRADING PLAN'!E:E, MATCH("←", 'TRADING PLAN'!J:J, 0)),"")</f>
        <v/>
      </c>
    </row>
    <row r="31">
      <c r="A31">
        <f>IF(B31&lt;&gt;"", IF(A31="", TODAY(), A31), "")</f>
        <v/>
      </c>
      <c r="F31">
        <f>IF(AND(D31&lt;&gt;"",E31&lt;&gt;"",H31&lt;&gt;""), IF(C31="Short", (D31-E31)*H31*100*SETTINGS!$B$10, (E31-D31)*H31*100*SETTINGS!$B$10), "")</f>
        <v/>
      </c>
      <c r="H31">
        <f>IFERROR(INDEX('TRADING PLAN'!E:E, MATCH("←", 'TRADING PLAN'!J:J, 0)),"")</f>
        <v/>
      </c>
    </row>
    <row r="32">
      <c r="A32">
        <f>IF(B32&lt;&gt;"", IF(A32="", TODAY(), A32), "")</f>
        <v/>
      </c>
      <c r="F32">
        <f>IF(AND(D32&lt;&gt;"",E32&lt;&gt;"",H32&lt;&gt;""), IF(C32="Short", (D32-E32)*H32*100*SETTINGS!$B$10, (E32-D32)*H32*100*SETTINGS!$B$10), "")</f>
        <v/>
      </c>
      <c r="H32">
        <f>IFERROR(INDEX('TRADING PLAN'!E:E, MATCH("←", 'TRADING PLAN'!J:J, 0)),"")</f>
        <v/>
      </c>
    </row>
    <row r="33">
      <c r="A33">
        <f>IF(B33&lt;&gt;"", IF(A33="", TODAY(), A33), "")</f>
        <v/>
      </c>
      <c r="F33">
        <f>IF(AND(D33&lt;&gt;"",E33&lt;&gt;"",H33&lt;&gt;""), IF(C33="Short", (D33-E33)*H33*100*SETTINGS!$B$10, (E33-D33)*H33*100*SETTINGS!$B$10), "")</f>
        <v/>
      </c>
      <c r="H33">
        <f>IFERROR(INDEX('TRADING PLAN'!E:E, MATCH("←", 'TRADING PLAN'!J:J, 0)),"")</f>
        <v/>
      </c>
    </row>
    <row r="34">
      <c r="A34">
        <f>IF(B34&lt;&gt;"", IF(A34="", TODAY(), A34), "")</f>
        <v/>
      </c>
      <c r="F34">
        <f>IF(AND(D34&lt;&gt;"",E34&lt;&gt;"",H34&lt;&gt;""), IF(C34="Short", (D34-E34)*H34*100*SETTINGS!$B$10, (E34-D34)*H34*100*SETTINGS!$B$10), "")</f>
        <v/>
      </c>
      <c r="H34">
        <f>IFERROR(INDEX('TRADING PLAN'!E:E, MATCH("←", 'TRADING PLAN'!J:J, 0)),"")</f>
        <v/>
      </c>
    </row>
    <row r="35">
      <c r="A35">
        <f>IF(B35&lt;&gt;"", IF(A35="", TODAY(), A35), "")</f>
        <v/>
      </c>
      <c r="F35">
        <f>IF(AND(D35&lt;&gt;"",E35&lt;&gt;"",H35&lt;&gt;""), IF(C35="Short", (D35-E35)*H35*100*SETTINGS!$B$10, (E35-D35)*H35*100*SETTINGS!$B$10), "")</f>
        <v/>
      </c>
      <c r="H35">
        <f>IFERROR(INDEX('TRADING PLAN'!E:E, MATCH("←", 'TRADING PLAN'!J:J, 0)),"")</f>
        <v/>
      </c>
    </row>
    <row r="36">
      <c r="A36">
        <f>IF(B36&lt;&gt;"", IF(A36="", TODAY(), A36), "")</f>
        <v/>
      </c>
      <c r="F36">
        <f>IF(AND(D36&lt;&gt;"",E36&lt;&gt;"",H36&lt;&gt;""), IF(C36="Short", (D36-E36)*H36*100*SETTINGS!$B$10, (E36-D36)*H36*100*SETTINGS!$B$10), "")</f>
        <v/>
      </c>
      <c r="H36">
        <f>IFERROR(INDEX('TRADING PLAN'!E:E, MATCH("←", 'TRADING PLAN'!J:J, 0)),"")</f>
        <v/>
      </c>
    </row>
    <row r="37">
      <c r="A37">
        <f>IF(B37&lt;&gt;"", IF(A37="", TODAY(), A37), "")</f>
        <v/>
      </c>
      <c r="F37">
        <f>IF(AND(D37&lt;&gt;"",E37&lt;&gt;"",H37&lt;&gt;""), IF(C37="Short", (D37-E37)*H37*100*SETTINGS!$B$10, (E37-D37)*H37*100*SETTINGS!$B$10), "")</f>
        <v/>
      </c>
      <c r="H37">
        <f>IFERROR(INDEX('TRADING PLAN'!E:E, MATCH("←", 'TRADING PLAN'!J:J, 0)),"")</f>
        <v/>
      </c>
    </row>
    <row r="38">
      <c r="A38">
        <f>IF(B38&lt;&gt;"", IF(A38="", TODAY(), A38), "")</f>
        <v/>
      </c>
      <c r="F38">
        <f>IF(AND(D38&lt;&gt;"",E38&lt;&gt;"",H38&lt;&gt;""), IF(C38="Short", (D38-E38)*H38*100*SETTINGS!$B$10, (E38-D38)*H38*100*SETTINGS!$B$10), "")</f>
        <v/>
      </c>
      <c r="H38">
        <f>IFERROR(INDEX('TRADING PLAN'!E:E, MATCH("←", 'TRADING PLAN'!J:J, 0)),"")</f>
        <v/>
      </c>
    </row>
    <row r="39">
      <c r="A39">
        <f>IF(B39&lt;&gt;"", IF(A39="", TODAY(), A39), "")</f>
        <v/>
      </c>
      <c r="F39">
        <f>IF(AND(D39&lt;&gt;"",E39&lt;&gt;"",H39&lt;&gt;""), IF(C39="Short", (D39-E39)*H39*100*SETTINGS!$B$10, (E39-D39)*H39*100*SETTINGS!$B$10), "")</f>
        <v/>
      </c>
      <c r="H39">
        <f>IFERROR(INDEX('TRADING PLAN'!E:E, MATCH("←", 'TRADING PLAN'!J:J, 0)),"")</f>
        <v/>
      </c>
    </row>
    <row r="40">
      <c r="A40">
        <f>IF(B40&lt;&gt;"", IF(A40="", TODAY(), A40), "")</f>
        <v/>
      </c>
      <c r="F40">
        <f>IF(AND(D40&lt;&gt;"",E40&lt;&gt;"",H40&lt;&gt;""), IF(C40="Short", (D40-E40)*H40*100*SETTINGS!$B$10, (E40-D40)*H40*100*SETTINGS!$B$10), "")</f>
        <v/>
      </c>
      <c r="H40">
        <f>IFERROR(INDEX('TRADING PLAN'!E:E, MATCH("←", 'TRADING PLAN'!J:J, 0)),"")</f>
        <v/>
      </c>
    </row>
    <row r="41">
      <c r="A41">
        <f>IF(B41&lt;&gt;"", IF(A41="", TODAY(), A41), "")</f>
        <v/>
      </c>
      <c r="F41">
        <f>IF(AND(D41&lt;&gt;"",E41&lt;&gt;"",H41&lt;&gt;""), IF(C41="Short", (D41-E41)*H41*100*SETTINGS!$B$10, (E41-D41)*H41*100*SETTINGS!$B$10), "")</f>
        <v/>
      </c>
      <c r="H41">
        <f>IFERROR(INDEX('TRADING PLAN'!E:E, MATCH("←", 'TRADING PLAN'!J:J, 0)),"")</f>
        <v/>
      </c>
    </row>
    <row r="42">
      <c r="A42">
        <f>IF(B42&lt;&gt;"", IF(A42="", TODAY(), A42), "")</f>
        <v/>
      </c>
      <c r="F42">
        <f>IF(AND(D42&lt;&gt;"",E42&lt;&gt;"",H42&lt;&gt;""), IF(C42="Short", (D42-E42)*H42*100*SETTINGS!$B$10, (E42-D42)*H42*100*SETTINGS!$B$10), "")</f>
        <v/>
      </c>
      <c r="H42">
        <f>IFERROR(INDEX('TRADING PLAN'!E:E, MATCH("←", 'TRADING PLAN'!J:J, 0)),"")</f>
        <v/>
      </c>
    </row>
    <row r="43">
      <c r="A43">
        <f>IF(B43&lt;&gt;"", IF(A43="", TODAY(), A43), "")</f>
        <v/>
      </c>
      <c r="F43">
        <f>IF(AND(D43&lt;&gt;"",E43&lt;&gt;"",H43&lt;&gt;""), IF(C43="Short", (D43-E43)*H43*100*SETTINGS!$B$10, (E43-D43)*H43*100*SETTINGS!$B$10), "")</f>
        <v/>
      </c>
      <c r="H43">
        <f>IFERROR(INDEX('TRADING PLAN'!E:E, MATCH("←", 'TRADING PLAN'!J:J, 0)),"")</f>
        <v/>
      </c>
    </row>
    <row r="44">
      <c r="A44">
        <f>IF(B44&lt;&gt;"", IF(A44="", TODAY(), A44), "")</f>
        <v/>
      </c>
      <c r="F44">
        <f>IF(AND(D44&lt;&gt;"",E44&lt;&gt;"",H44&lt;&gt;""), IF(C44="Short", (D44-E44)*H44*100*SETTINGS!$B$10, (E44-D44)*H44*100*SETTINGS!$B$10), "")</f>
        <v/>
      </c>
      <c r="H44">
        <f>IFERROR(INDEX('TRADING PLAN'!E:E, MATCH("←", 'TRADING PLAN'!J:J, 0)),"")</f>
        <v/>
      </c>
    </row>
    <row r="45">
      <c r="A45">
        <f>IF(B45&lt;&gt;"", IF(A45="", TODAY(), A45), "")</f>
        <v/>
      </c>
      <c r="F45">
        <f>IF(AND(D45&lt;&gt;"",E45&lt;&gt;"",H45&lt;&gt;""), IF(C45="Short", (D45-E45)*H45*100*SETTINGS!$B$10, (E45-D45)*H45*100*SETTINGS!$B$10), "")</f>
        <v/>
      </c>
      <c r="H45">
        <f>IFERROR(INDEX('TRADING PLAN'!E:E, MATCH("←", 'TRADING PLAN'!J:J, 0)),"")</f>
        <v/>
      </c>
    </row>
    <row r="46">
      <c r="A46">
        <f>IF(B46&lt;&gt;"", IF(A46="", TODAY(), A46), "")</f>
        <v/>
      </c>
      <c r="F46">
        <f>IF(AND(D46&lt;&gt;"",E46&lt;&gt;"",H46&lt;&gt;""), IF(C46="Short", (D46-E46)*H46*100*SETTINGS!$B$10, (E46-D46)*H46*100*SETTINGS!$B$10), "")</f>
        <v/>
      </c>
      <c r="H46">
        <f>IFERROR(INDEX('TRADING PLAN'!E:E, MATCH("←", 'TRADING PLAN'!J:J, 0)),"")</f>
        <v/>
      </c>
    </row>
    <row r="47">
      <c r="A47">
        <f>IF(B47&lt;&gt;"", IF(A47="", TODAY(), A47), "")</f>
        <v/>
      </c>
      <c r="F47">
        <f>IF(AND(D47&lt;&gt;"",E47&lt;&gt;"",H47&lt;&gt;""), IF(C47="Short", (D47-E47)*H47*100*SETTINGS!$B$10, (E47-D47)*H47*100*SETTINGS!$B$10), "")</f>
        <v/>
      </c>
      <c r="H47">
        <f>IFERROR(INDEX('TRADING PLAN'!E:E, MATCH("←", 'TRADING PLAN'!J:J, 0)),"")</f>
        <v/>
      </c>
    </row>
    <row r="48">
      <c r="A48">
        <f>IF(B48&lt;&gt;"", IF(A48="", TODAY(), A48), "")</f>
        <v/>
      </c>
      <c r="F48">
        <f>IF(AND(D48&lt;&gt;"",E48&lt;&gt;"",H48&lt;&gt;""), IF(C48="Short", (D48-E48)*H48*100*SETTINGS!$B$10, (E48-D48)*H48*100*SETTINGS!$B$10), "")</f>
        <v/>
      </c>
      <c r="H48">
        <f>IFERROR(INDEX('TRADING PLAN'!E:E, MATCH("←", 'TRADING PLAN'!J:J, 0)),"")</f>
        <v/>
      </c>
    </row>
    <row r="49">
      <c r="A49">
        <f>IF(B49&lt;&gt;"", IF(A49="", TODAY(), A49), "")</f>
        <v/>
      </c>
      <c r="F49">
        <f>IF(AND(D49&lt;&gt;"",E49&lt;&gt;"",H49&lt;&gt;""), IF(C49="Short", (D49-E49)*H49*100*SETTINGS!$B$10, (E49-D49)*H49*100*SETTINGS!$B$10), "")</f>
        <v/>
      </c>
      <c r="H49">
        <f>IFERROR(INDEX('TRADING PLAN'!E:E, MATCH("←", 'TRADING PLAN'!J:J, 0)),"")</f>
        <v/>
      </c>
    </row>
    <row r="50">
      <c r="A50">
        <f>IF(B50&lt;&gt;"", IF(A50="", TODAY(), A50), "")</f>
        <v/>
      </c>
      <c r="F50">
        <f>IF(AND(D50&lt;&gt;"",E50&lt;&gt;"",H50&lt;&gt;""), IF(C50="Short", (D50-E50)*H50*100*SETTINGS!$B$10, (E50-D50)*H50*100*SETTINGS!$B$10), "")</f>
        <v/>
      </c>
      <c r="H50">
        <f>IFERROR(INDEX('TRADING PLAN'!E:E, MATCH("←", 'TRADING PLAN'!J:J, 0)),"")</f>
        <v/>
      </c>
    </row>
    <row r="51">
      <c r="A51">
        <f>IF(B51&lt;&gt;"", IF(A51="", TODAY(), A51), "")</f>
        <v/>
      </c>
      <c r="F51">
        <f>IF(AND(D51&lt;&gt;"",E51&lt;&gt;"",H51&lt;&gt;""), IF(C51="Short", (D51-E51)*H51*100*SETTINGS!$B$10, (E51-D51)*H51*100*SETTINGS!$B$10), "")</f>
        <v/>
      </c>
      <c r="H51">
        <f>IFERROR(INDEX('TRADING PLAN'!E:E, MATCH("←", 'TRADING PLAN'!J:J, 0)),"")</f>
        <v/>
      </c>
    </row>
    <row r="52">
      <c r="A52">
        <f>IF(B52&lt;&gt;"", IF(A52="", TODAY(), A52), "")</f>
        <v/>
      </c>
      <c r="F52">
        <f>IF(AND(D52&lt;&gt;"",E52&lt;&gt;"",H52&lt;&gt;""), IF(C52="Short", (D52-E52)*H52*100*SETTINGS!$B$10, (E52-D52)*H52*100*SETTINGS!$B$10), "")</f>
        <v/>
      </c>
      <c r="H52">
        <f>IFERROR(INDEX('TRADING PLAN'!E:E, MATCH("←", 'TRADING PLAN'!J:J, 0)),"")</f>
        <v/>
      </c>
    </row>
    <row r="53">
      <c r="A53">
        <f>IF(B53&lt;&gt;"", IF(A53="", TODAY(), A53), "")</f>
        <v/>
      </c>
      <c r="F53">
        <f>IF(AND(D53&lt;&gt;"",E53&lt;&gt;"",H53&lt;&gt;""), IF(C53="Short", (D53-E53)*H53*100*SETTINGS!$B$10, (E53-D53)*H53*100*SETTINGS!$B$10), "")</f>
        <v/>
      </c>
      <c r="H53">
        <f>IFERROR(INDEX('TRADING PLAN'!E:E, MATCH("←", 'TRADING PLAN'!J:J, 0)),"")</f>
        <v/>
      </c>
    </row>
    <row r="54">
      <c r="A54">
        <f>IF(B54&lt;&gt;"", IF(A54="", TODAY(), A54), "")</f>
        <v/>
      </c>
      <c r="F54">
        <f>IF(AND(D54&lt;&gt;"",E54&lt;&gt;"",H54&lt;&gt;""), IF(C54="Short", (D54-E54)*H54*100*SETTINGS!$B$10, (E54-D54)*H54*100*SETTINGS!$B$10), "")</f>
        <v/>
      </c>
      <c r="H54">
        <f>IFERROR(INDEX('TRADING PLAN'!E:E, MATCH("←", 'TRADING PLAN'!J:J, 0)),"")</f>
        <v/>
      </c>
    </row>
    <row r="55">
      <c r="A55">
        <f>IF(B55&lt;&gt;"", IF(A55="", TODAY(), A55), "")</f>
        <v/>
      </c>
      <c r="F55">
        <f>IF(AND(D55&lt;&gt;"",E55&lt;&gt;"",H55&lt;&gt;""), IF(C55="Short", (D55-E55)*H55*100*SETTINGS!$B$10, (E55-D55)*H55*100*SETTINGS!$B$10), "")</f>
        <v/>
      </c>
      <c r="H55">
        <f>IFERROR(INDEX('TRADING PLAN'!E:E, MATCH("←", 'TRADING PLAN'!J:J, 0)),"")</f>
        <v/>
      </c>
    </row>
    <row r="56">
      <c r="A56">
        <f>IF(B56&lt;&gt;"", IF(A56="", TODAY(), A56), "")</f>
        <v/>
      </c>
      <c r="F56">
        <f>IF(AND(D56&lt;&gt;"",E56&lt;&gt;"",H56&lt;&gt;""), IF(C56="Short", (D56-E56)*H56*100*SETTINGS!$B$10, (E56-D56)*H56*100*SETTINGS!$B$10), "")</f>
        <v/>
      </c>
      <c r="H56">
        <f>IFERROR(INDEX('TRADING PLAN'!E:E, MATCH("←", 'TRADING PLAN'!J:J, 0)),"")</f>
        <v/>
      </c>
    </row>
    <row r="57">
      <c r="A57">
        <f>IF(B57&lt;&gt;"", IF(A57="", TODAY(), A57), "")</f>
        <v/>
      </c>
      <c r="F57">
        <f>IF(AND(D57&lt;&gt;"",E57&lt;&gt;"",H57&lt;&gt;""), IF(C57="Short", (D57-E57)*H57*100*SETTINGS!$B$10, (E57-D57)*H57*100*SETTINGS!$B$10), "")</f>
        <v/>
      </c>
      <c r="H57">
        <f>IFERROR(INDEX('TRADING PLAN'!E:E, MATCH("←", 'TRADING PLAN'!J:J, 0)),"")</f>
        <v/>
      </c>
    </row>
    <row r="58">
      <c r="A58">
        <f>IF(B58&lt;&gt;"", IF(A58="", TODAY(), A58), "")</f>
        <v/>
      </c>
      <c r="F58">
        <f>IF(AND(D58&lt;&gt;"",E58&lt;&gt;"",H58&lt;&gt;""), IF(C58="Short", (D58-E58)*H58*100*SETTINGS!$B$10, (E58-D58)*H58*100*SETTINGS!$B$10), "")</f>
        <v/>
      </c>
      <c r="H58">
        <f>IFERROR(INDEX('TRADING PLAN'!E:E, MATCH("←", 'TRADING PLAN'!J:J, 0)),"")</f>
        <v/>
      </c>
    </row>
    <row r="59">
      <c r="A59">
        <f>IF(B59&lt;&gt;"", IF(A59="", TODAY(), A59), "")</f>
        <v/>
      </c>
      <c r="F59">
        <f>IF(AND(D59&lt;&gt;"",E59&lt;&gt;"",H59&lt;&gt;""), IF(C59="Short", (D59-E59)*H59*100*SETTINGS!$B$10, (E59-D59)*H59*100*SETTINGS!$B$10), "")</f>
        <v/>
      </c>
      <c r="H59">
        <f>IFERROR(INDEX('TRADING PLAN'!E:E, MATCH("←", 'TRADING PLAN'!J:J, 0)),"")</f>
        <v/>
      </c>
    </row>
    <row r="60">
      <c r="A60">
        <f>IF(B60&lt;&gt;"", IF(A60="", TODAY(), A60), "")</f>
        <v/>
      </c>
      <c r="F60">
        <f>IF(AND(D60&lt;&gt;"",E60&lt;&gt;"",H60&lt;&gt;""), IF(C60="Short", (D60-E60)*H60*100*SETTINGS!$B$10, (E60-D60)*H60*100*SETTINGS!$B$10), "")</f>
        <v/>
      </c>
      <c r="H60">
        <f>IFERROR(INDEX('TRADING PLAN'!E:E, MATCH("←", 'TRADING PLAN'!J:J, 0)),"")</f>
        <v/>
      </c>
    </row>
    <row r="61">
      <c r="A61">
        <f>IF(B61&lt;&gt;"", IF(A61="", TODAY(), A61), "")</f>
        <v/>
      </c>
      <c r="F61">
        <f>IF(AND(D61&lt;&gt;"",E61&lt;&gt;"",H61&lt;&gt;""), IF(C61="Short", (D61-E61)*H61*100*SETTINGS!$B$10, (E61-D61)*H61*100*SETTINGS!$B$10), "")</f>
        <v/>
      </c>
      <c r="H61">
        <f>IFERROR(INDEX('TRADING PLAN'!E:E, MATCH("←", 'TRADING PLAN'!J:J, 0)),"")</f>
        <v/>
      </c>
    </row>
    <row r="62">
      <c r="A62">
        <f>IF(B62&lt;&gt;"", IF(A62="", TODAY(), A62), "")</f>
        <v/>
      </c>
      <c r="F62">
        <f>IF(AND(D62&lt;&gt;"",E62&lt;&gt;"",H62&lt;&gt;""), IF(C62="Short", (D62-E62)*H62*100*SETTINGS!$B$10, (E62-D62)*H62*100*SETTINGS!$B$10), "")</f>
        <v/>
      </c>
      <c r="H62">
        <f>IFERROR(INDEX('TRADING PLAN'!E:E, MATCH("←", 'TRADING PLAN'!J:J, 0)),"")</f>
        <v/>
      </c>
    </row>
    <row r="63">
      <c r="A63">
        <f>IF(B63&lt;&gt;"", IF(A63="", TODAY(), A63), "")</f>
        <v/>
      </c>
      <c r="F63">
        <f>IF(AND(D63&lt;&gt;"",E63&lt;&gt;"",H63&lt;&gt;""), IF(C63="Short", (D63-E63)*H63*100*SETTINGS!$B$10, (E63-D63)*H63*100*SETTINGS!$B$10), "")</f>
        <v/>
      </c>
      <c r="H63">
        <f>IFERROR(INDEX('TRADING PLAN'!E:E, MATCH("←", 'TRADING PLAN'!J:J, 0)),"")</f>
        <v/>
      </c>
    </row>
    <row r="64">
      <c r="A64">
        <f>IF(B64&lt;&gt;"", IF(A64="", TODAY(), A64), "")</f>
        <v/>
      </c>
      <c r="F64">
        <f>IF(AND(D64&lt;&gt;"",E64&lt;&gt;"",H64&lt;&gt;""), IF(C64="Short", (D64-E64)*H64*100*SETTINGS!$B$10, (E64-D64)*H64*100*SETTINGS!$B$10), "")</f>
        <v/>
      </c>
      <c r="H64">
        <f>IFERROR(INDEX('TRADING PLAN'!E:E, MATCH("←", 'TRADING PLAN'!J:J, 0)),"")</f>
        <v/>
      </c>
    </row>
    <row r="65">
      <c r="A65">
        <f>IF(B65&lt;&gt;"", IF(A65="", TODAY(), A65), "")</f>
        <v/>
      </c>
      <c r="F65">
        <f>IF(AND(D65&lt;&gt;"",E65&lt;&gt;"",H65&lt;&gt;""), IF(C65="Short", (D65-E65)*H65*100*SETTINGS!$B$10, (E65-D65)*H65*100*SETTINGS!$B$10), "")</f>
        <v/>
      </c>
      <c r="H65">
        <f>IFERROR(INDEX('TRADING PLAN'!E:E, MATCH("←", 'TRADING PLAN'!J:J, 0)),"")</f>
        <v/>
      </c>
    </row>
    <row r="66">
      <c r="A66">
        <f>IF(B66&lt;&gt;"", IF(A66="", TODAY(), A66), "")</f>
        <v/>
      </c>
      <c r="F66">
        <f>IF(AND(D66&lt;&gt;"",E66&lt;&gt;"",H66&lt;&gt;""), IF(C66="Short", (D66-E66)*H66*100*SETTINGS!$B$10, (E66-D66)*H66*100*SETTINGS!$B$10), "")</f>
        <v/>
      </c>
      <c r="H66">
        <f>IFERROR(INDEX('TRADING PLAN'!E:E, MATCH("←", 'TRADING PLAN'!J:J, 0)),"")</f>
        <v/>
      </c>
    </row>
    <row r="67">
      <c r="A67">
        <f>IF(B67&lt;&gt;"", IF(A67="", TODAY(), A67), "")</f>
        <v/>
      </c>
      <c r="F67">
        <f>IF(AND(D67&lt;&gt;"",E67&lt;&gt;"",H67&lt;&gt;""), IF(C67="Short", (D67-E67)*H67*100*SETTINGS!$B$10, (E67-D67)*H67*100*SETTINGS!$B$10), "")</f>
        <v/>
      </c>
      <c r="H67">
        <f>IFERROR(INDEX('TRADING PLAN'!E:E, MATCH("←", 'TRADING PLAN'!J:J, 0)),"")</f>
        <v/>
      </c>
    </row>
    <row r="68">
      <c r="A68">
        <f>IF(B68&lt;&gt;"", IF(A68="", TODAY(), A68), "")</f>
        <v/>
      </c>
      <c r="F68">
        <f>IF(AND(D68&lt;&gt;"",E68&lt;&gt;"",H68&lt;&gt;""), IF(C68="Short", (D68-E68)*H68*100*SETTINGS!$B$10, (E68-D68)*H68*100*SETTINGS!$B$10), "")</f>
        <v/>
      </c>
      <c r="H68">
        <f>IFERROR(INDEX('TRADING PLAN'!E:E, MATCH("←", 'TRADING PLAN'!J:J, 0)),"")</f>
        <v/>
      </c>
    </row>
    <row r="69">
      <c r="A69">
        <f>IF(B69&lt;&gt;"", IF(A69="", TODAY(), A69), "")</f>
        <v/>
      </c>
      <c r="F69">
        <f>IF(AND(D69&lt;&gt;"",E69&lt;&gt;"",H69&lt;&gt;""), IF(C69="Short", (D69-E69)*H69*100*SETTINGS!$B$10, (E69-D69)*H69*100*SETTINGS!$B$10), "")</f>
        <v/>
      </c>
      <c r="H69">
        <f>IFERROR(INDEX('TRADING PLAN'!E:E, MATCH("←", 'TRADING PLAN'!J:J, 0)),"")</f>
        <v/>
      </c>
    </row>
    <row r="70">
      <c r="A70">
        <f>IF(B70&lt;&gt;"", IF(A70="", TODAY(), A70), "")</f>
        <v/>
      </c>
      <c r="F70">
        <f>IF(AND(D70&lt;&gt;"",E70&lt;&gt;"",H70&lt;&gt;""), IF(C70="Short", (D70-E70)*H70*100*SETTINGS!$B$10, (E70-D70)*H70*100*SETTINGS!$B$10), "")</f>
        <v/>
      </c>
      <c r="H70">
        <f>IFERROR(INDEX('TRADING PLAN'!E:E, MATCH("←", 'TRADING PLAN'!J:J, 0)),"")</f>
        <v/>
      </c>
    </row>
    <row r="71">
      <c r="A71">
        <f>IF(B71&lt;&gt;"", IF(A71="", TODAY(), A71), "")</f>
        <v/>
      </c>
      <c r="F71">
        <f>IF(AND(D71&lt;&gt;"",E71&lt;&gt;"",H71&lt;&gt;""), IF(C71="Short", (D71-E71)*H71*100*SETTINGS!$B$10, (E71-D71)*H71*100*SETTINGS!$B$10), "")</f>
        <v/>
      </c>
      <c r="H71">
        <f>IFERROR(INDEX('TRADING PLAN'!E:E, MATCH("←", 'TRADING PLAN'!J:J, 0)),"")</f>
        <v/>
      </c>
    </row>
    <row r="72">
      <c r="A72">
        <f>IF(B72&lt;&gt;"", IF(A72="", TODAY(), A72), "")</f>
        <v/>
      </c>
      <c r="F72">
        <f>IF(AND(D72&lt;&gt;"",E72&lt;&gt;"",H72&lt;&gt;""), IF(C72="Short", (D72-E72)*H72*100*SETTINGS!$B$10, (E72-D72)*H72*100*SETTINGS!$B$10), "")</f>
        <v/>
      </c>
      <c r="H72">
        <f>IFERROR(INDEX('TRADING PLAN'!E:E, MATCH("←", 'TRADING PLAN'!J:J, 0)),"")</f>
        <v/>
      </c>
    </row>
    <row r="73">
      <c r="A73">
        <f>IF(B73&lt;&gt;"", IF(A73="", TODAY(), A73), "")</f>
        <v/>
      </c>
      <c r="F73">
        <f>IF(AND(D73&lt;&gt;"",E73&lt;&gt;"",H73&lt;&gt;""), IF(C73="Short", (D73-E73)*H73*100*SETTINGS!$B$10, (E73-D73)*H73*100*SETTINGS!$B$10), "")</f>
        <v/>
      </c>
      <c r="H73">
        <f>IFERROR(INDEX('TRADING PLAN'!E:E, MATCH("←", 'TRADING PLAN'!J:J, 0)),"")</f>
        <v/>
      </c>
    </row>
    <row r="74">
      <c r="A74">
        <f>IF(B74&lt;&gt;"", IF(A74="", TODAY(), A74), "")</f>
        <v/>
      </c>
      <c r="F74">
        <f>IF(AND(D74&lt;&gt;"",E74&lt;&gt;"",H74&lt;&gt;""), IF(C74="Short", (D74-E74)*H74*100*SETTINGS!$B$10, (E74-D74)*H74*100*SETTINGS!$B$10), "")</f>
        <v/>
      </c>
      <c r="H74">
        <f>IFERROR(INDEX('TRADING PLAN'!E:E, MATCH("←", 'TRADING PLAN'!J:J, 0)),"")</f>
        <v/>
      </c>
    </row>
    <row r="75">
      <c r="A75">
        <f>IF(B75&lt;&gt;"", IF(A75="", TODAY(), A75), "")</f>
        <v/>
      </c>
      <c r="F75">
        <f>IF(AND(D75&lt;&gt;"",E75&lt;&gt;"",H75&lt;&gt;""), IF(C75="Short", (D75-E75)*H75*100*SETTINGS!$B$10, (E75-D75)*H75*100*SETTINGS!$B$10), "")</f>
        <v/>
      </c>
      <c r="H75">
        <f>IFERROR(INDEX('TRADING PLAN'!E:E, MATCH("←", 'TRADING PLAN'!J:J, 0)),"")</f>
        <v/>
      </c>
    </row>
    <row r="76">
      <c r="A76">
        <f>IF(B76&lt;&gt;"", IF(A76="", TODAY(), A76), "")</f>
        <v/>
      </c>
      <c r="F76">
        <f>IF(AND(D76&lt;&gt;"",E76&lt;&gt;"",H76&lt;&gt;""), IF(C76="Short", (D76-E76)*H76*100*SETTINGS!$B$10, (E76-D76)*H76*100*SETTINGS!$B$10), "")</f>
        <v/>
      </c>
      <c r="H76">
        <f>IFERROR(INDEX('TRADING PLAN'!E:E, MATCH("←", 'TRADING PLAN'!J:J, 0)),"")</f>
        <v/>
      </c>
    </row>
    <row r="77">
      <c r="A77">
        <f>IF(B77&lt;&gt;"", IF(A77="", TODAY(), A77), "")</f>
        <v/>
      </c>
      <c r="F77">
        <f>IF(AND(D77&lt;&gt;"",E77&lt;&gt;"",H77&lt;&gt;""), IF(C77="Short", (D77-E77)*H77*100*SETTINGS!$B$10, (E77-D77)*H77*100*SETTINGS!$B$10), "")</f>
        <v/>
      </c>
      <c r="H77">
        <f>IFERROR(INDEX('TRADING PLAN'!E:E, MATCH("←", 'TRADING PLAN'!J:J, 0)),"")</f>
        <v/>
      </c>
    </row>
    <row r="78">
      <c r="A78">
        <f>IF(B78&lt;&gt;"", IF(A78="", TODAY(), A78), "")</f>
        <v/>
      </c>
      <c r="F78">
        <f>IF(AND(D78&lt;&gt;"",E78&lt;&gt;"",H78&lt;&gt;""), IF(C78="Short", (D78-E78)*H78*100*SETTINGS!$B$10, (E78-D78)*H78*100*SETTINGS!$B$10), "")</f>
        <v/>
      </c>
      <c r="H78">
        <f>IFERROR(INDEX('TRADING PLAN'!E:E, MATCH("←", 'TRADING PLAN'!J:J, 0)),"")</f>
        <v/>
      </c>
    </row>
    <row r="79">
      <c r="A79">
        <f>IF(B79&lt;&gt;"", IF(A79="", TODAY(), A79), "")</f>
        <v/>
      </c>
      <c r="F79">
        <f>IF(AND(D79&lt;&gt;"",E79&lt;&gt;"",H79&lt;&gt;""), IF(C79="Short", (D79-E79)*H79*100*SETTINGS!$B$10, (E79-D79)*H79*100*SETTINGS!$B$10), "")</f>
        <v/>
      </c>
      <c r="H79">
        <f>IFERROR(INDEX('TRADING PLAN'!E:E, MATCH("←", 'TRADING PLAN'!J:J, 0)),"")</f>
        <v/>
      </c>
    </row>
    <row r="80">
      <c r="A80">
        <f>IF(B80&lt;&gt;"", IF(A80="", TODAY(), A80), "")</f>
        <v/>
      </c>
      <c r="F80">
        <f>IF(AND(D80&lt;&gt;"",E80&lt;&gt;"",H80&lt;&gt;""), IF(C80="Short", (D80-E80)*H80*100*SETTINGS!$B$10, (E80-D80)*H80*100*SETTINGS!$B$10), "")</f>
        <v/>
      </c>
      <c r="H80">
        <f>IFERROR(INDEX('TRADING PLAN'!E:E, MATCH("←", 'TRADING PLAN'!J:J, 0)),"")</f>
        <v/>
      </c>
    </row>
    <row r="81">
      <c r="A81">
        <f>IF(B81&lt;&gt;"", IF(A81="", TODAY(), A81), "")</f>
        <v/>
      </c>
      <c r="F81">
        <f>IF(AND(D81&lt;&gt;"",E81&lt;&gt;"",H81&lt;&gt;""), IF(C81="Short", (D81-E81)*H81*100*SETTINGS!$B$10, (E81-D81)*H81*100*SETTINGS!$B$10), "")</f>
        <v/>
      </c>
      <c r="H81">
        <f>IFERROR(INDEX('TRADING PLAN'!E:E, MATCH("←", 'TRADING PLAN'!J:J, 0)),"")</f>
        <v/>
      </c>
    </row>
    <row r="82">
      <c r="A82">
        <f>IF(B82&lt;&gt;"", IF(A82="", TODAY(), A82), "")</f>
        <v/>
      </c>
      <c r="F82">
        <f>IF(AND(D82&lt;&gt;"",E82&lt;&gt;"",H82&lt;&gt;""), IF(C82="Short", (D82-E82)*H82*100*SETTINGS!$B$10, (E82-D82)*H82*100*SETTINGS!$B$10), "")</f>
        <v/>
      </c>
      <c r="H82">
        <f>IFERROR(INDEX('TRADING PLAN'!E:E, MATCH("←", 'TRADING PLAN'!J:J, 0)),"")</f>
        <v/>
      </c>
    </row>
    <row r="83">
      <c r="A83">
        <f>IF(B83&lt;&gt;"", IF(A83="", TODAY(), A83), "")</f>
        <v/>
      </c>
      <c r="F83">
        <f>IF(AND(D83&lt;&gt;"",E83&lt;&gt;"",H83&lt;&gt;""), IF(C83="Short", (D83-E83)*H83*100*SETTINGS!$B$10, (E83-D83)*H83*100*SETTINGS!$B$10), "")</f>
        <v/>
      </c>
      <c r="H83">
        <f>IFERROR(INDEX('TRADING PLAN'!E:E, MATCH("←", 'TRADING PLAN'!J:J, 0)),"")</f>
        <v/>
      </c>
    </row>
    <row r="84">
      <c r="A84">
        <f>IF(B84&lt;&gt;"", IF(A84="", TODAY(), A84), "")</f>
        <v/>
      </c>
      <c r="F84">
        <f>IF(AND(D84&lt;&gt;"",E84&lt;&gt;"",H84&lt;&gt;""), IF(C84="Short", (D84-E84)*H84*100*SETTINGS!$B$10, (E84-D84)*H84*100*SETTINGS!$B$10), "")</f>
        <v/>
      </c>
      <c r="H84">
        <f>IFERROR(INDEX('TRADING PLAN'!E:E, MATCH("←", 'TRADING PLAN'!J:J, 0)),"")</f>
        <v/>
      </c>
    </row>
    <row r="85">
      <c r="A85">
        <f>IF(B85&lt;&gt;"", IF(A85="", TODAY(), A85), "")</f>
        <v/>
      </c>
      <c r="F85">
        <f>IF(AND(D85&lt;&gt;"",E85&lt;&gt;"",H85&lt;&gt;""), IF(C85="Short", (D85-E85)*H85*100*SETTINGS!$B$10, (E85-D85)*H85*100*SETTINGS!$B$10), "")</f>
        <v/>
      </c>
      <c r="H85">
        <f>IFERROR(INDEX('TRADING PLAN'!E:E, MATCH("←", 'TRADING PLAN'!J:J, 0)),"")</f>
        <v/>
      </c>
    </row>
    <row r="86">
      <c r="A86">
        <f>IF(B86&lt;&gt;"", IF(A86="", TODAY(), A86), "")</f>
        <v/>
      </c>
      <c r="F86">
        <f>IF(AND(D86&lt;&gt;"",E86&lt;&gt;"",H86&lt;&gt;""), IF(C86="Short", (D86-E86)*H86*100*SETTINGS!$B$10, (E86-D86)*H86*100*SETTINGS!$B$10), "")</f>
        <v/>
      </c>
      <c r="H86">
        <f>IFERROR(INDEX('TRADING PLAN'!E:E, MATCH("←", 'TRADING PLAN'!J:J, 0)),"")</f>
        <v/>
      </c>
    </row>
    <row r="87">
      <c r="A87">
        <f>IF(B87&lt;&gt;"", IF(A87="", TODAY(), A87), "")</f>
        <v/>
      </c>
      <c r="F87">
        <f>IF(AND(D87&lt;&gt;"",E87&lt;&gt;"",H87&lt;&gt;""), IF(C87="Short", (D87-E87)*H87*100*SETTINGS!$B$10, (E87-D87)*H87*100*SETTINGS!$B$10), "")</f>
        <v/>
      </c>
      <c r="H87">
        <f>IFERROR(INDEX('TRADING PLAN'!E:E, MATCH("←", 'TRADING PLAN'!J:J, 0)),"")</f>
        <v/>
      </c>
    </row>
    <row r="88">
      <c r="A88">
        <f>IF(B88&lt;&gt;"", IF(A88="", TODAY(), A88), "")</f>
        <v/>
      </c>
      <c r="F88">
        <f>IF(AND(D88&lt;&gt;"",E88&lt;&gt;"",H88&lt;&gt;""), IF(C88="Short", (D88-E88)*H88*100*SETTINGS!$B$10, (E88-D88)*H88*100*SETTINGS!$B$10), "")</f>
        <v/>
      </c>
      <c r="H88">
        <f>IFERROR(INDEX('TRADING PLAN'!E:E, MATCH("←", 'TRADING PLAN'!J:J, 0)),"")</f>
        <v/>
      </c>
    </row>
    <row r="89">
      <c r="A89">
        <f>IF(B89&lt;&gt;"", IF(A89="", TODAY(), A89), "")</f>
        <v/>
      </c>
      <c r="F89">
        <f>IF(AND(D89&lt;&gt;"",E89&lt;&gt;"",H89&lt;&gt;""), IF(C89="Short", (D89-E89)*H89*100*SETTINGS!$B$10, (E89-D89)*H89*100*SETTINGS!$B$10), "")</f>
        <v/>
      </c>
      <c r="H89">
        <f>IFERROR(INDEX('TRADING PLAN'!E:E, MATCH("←", 'TRADING PLAN'!J:J, 0)),"")</f>
        <v/>
      </c>
    </row>
    <row r="90">
      <c r="A90">
        <f>IF(B90&lt;&gt;"", IF(A90="", TODAY(), A90), "")</f>
        <v/>
      </c>
      <c r="F90">
        <f>IF(AND(D90&lt;&gt;"",E90&lt;&gt;"",H90&lt;&gt;""), IF(C90="Short", (D90-E90)*H90*100*SETTINGS!$B$10, (E90-D90)*H90*100*SETTINGS!$B$10), "")</f>
        <v/>
      </c>
      <c r="H90">
        <f>IFERROR(INDEX('TRADING PLAN'!E:E, MATCH("←", 'TRADING PLAN'!J:J, 0)),"")</f>
        <v/>
      </c>
    </row>
    <row r="91">
      <c r="A91">
        <f>IF(B91&lt;&gt;"", IF(A91="", TODAY(), A91), "")</f>
        <v/>
      </c>
      <c r="F91">
        <f>IF(AND(D91&lt;&gt;"",E91&lt;&gt;"",H91&lt;&gt;""), IF(C91="Short", (D91-E91)*H91*100*SETTINGS!$B$10, (E91-D91)*H91*100*SETTINGS!$B$10), "")</f>
        <v/>
      </c>
      <c r="H91">
        <f>IFERROR(INDEX('TRADING PLAN'!E:E, MATCH("←", 'TRADING PLAN'!J:J, 0)),"")</f>
        <v/>
      </c>
    </row>
    <row r="92">
      <c r="A92">
        <f>IF(B92&lt;&gt;"", IF(A92="", TODAY(), A92), "")</f>
        <v/>
      </c>
      <c r="F92">
        <f>IF(AND(D92&lt;&gt;"",E92&lt;&gt;"",H92&lt;&gt;""), IF(C92="Short", (D92-E92)*H92*100*SETTINGS!$B$10, (E92-D92)*H92*100*SETTINGS!$B$10), "")</f>
        <v/>
      </c>
      <c r="H92">
        <f>IFERROR(INDEX('TRADING PLAN'!E:E, MATCH("←", 'TRADING PLAN'!J:J, 0)),"")</f>
        <v/>
      </c>
    </row>
    <row r="93">
      <c r="A93">
        <f>IF(B93&lt;&gt;"", IF(A93="", TODAY(), A93), "")</f>
        <v/>
      </c>
      <c r="F93">
        <f>IF(AND(D93&lt;&gt;"",E93&lt;&gt;"",H93&lt;&gt;""), IF(C93="Short", (D93-E93)*H93*100*SETTINGS!$B$10, (E93-D93)*H93*100*SETTINGS!$B$10), "")</f>
        <v/>
      </c>
      <c r="H93">
        <f>IFERROR(INDEX('TRADING PLAN'!E:E, MATCH("←", 'TRADING PLAN'!J:J, 0)),"")</f>
        <v/>
      </c>
    </row>
    <row r="94">
      <c r="A94">
        <f>IF(B94&lt;&gt;"", IF(A94="", TODAY(), A94), "")</f>
        <v/>
      </c>
      <c r="F94">
        <f>IF(AND(D94&lt;&gt;"",E94&lt;&gt;"",H94&lt;&gt;""), IF(C94="Short", (D94-E94)*H94*100*SETTINGS!$B$10, (E94-D94)*H94*100*SETTINGS!$B$10), "")</f>
        <v/>
      </c>
      <c r="H94">
        <f>IFERROR(INDEX('TRADING PLAN'!E:E, MATCH("←", 'TRADING PLAN'!J:J, 0)),"")</f>
        <v/>
      </c>
    </row>
    <row r="95">
      <c r="A95">
        <f>IF(B95&lt;&gt;"", IF(A95="", TODAY(), A95), "")</f>
        <v/>
      </c>
      <c r="F95">
        <f>IF(AND(D95&lt;&gt;"",E95&lt;&gt;"",H95&lt;&gt;""), IF(C95="Short", (D95-E95)*H95*100*SETTINGS!$B$10, (E95-D95)*H95*100*SETTINGS!$B$10), "")</f>
        <v/>
      </c>
      <c r="H95">
        <f>IFERROR(INDEX('TRADING PLAN'!E:E, MATCH("←", 'TRADING PLAN'!J:J, 0)),"")</f>
        <v/>
      </c>
    </row>
    <row r="96">
      <c r="A96">
        <f>IF(B96&lt;&gt;"", IF(A96="", TODAY(), A96), "")</f>
        <v/>
      </c>
      <c r="F96">
        <f>IF(AND(D96&lt;&gt;"",E96&lt;&gt;"",H96&lt;&gt;""), IF(C96="Short", (D96-E96)*H96*100*SETTINGS!$B$10, (E96-D96)*H96*100*SETTINGS!$B$10), "")</f>
        <v/>
      </c>
      <c r="H96">
        <f>IFERROR(INDEX('TRADING PLAN'!E:E, MATCH("←", 'TRADING PLAN'!J:J, 0)),"")</f>
        <v/>
      </c>
    </row>
    <row r="97">
      <c r="A97">
        <f>IF(B97&lt;&gt;"", IF(A97="", TODAY(), A97), "")</f>
        <v/>
      </c>
      <c r="F97">
        <f>IF(AND(D97&lt;&gt;"",E97&lt;&gt;"",H97&lt;&gt;""), IF(C97="Short", (D97-E97)*H97*100*SETTINGS!$B$10, (E97-D97)*H97*100*SETTINGS!$B$10), "")</f>
        <v/>
      </c>
      <c r="H97">
        <f>IFERROR(INDEX('TRADING PLAN'!E:E, MATCH("←", 'TRADING PLAN'!J:J, 0)),"")</f>
        <v/>
      </c>
    </row>
    <row r="98">
      <c r="A98">
        <f>IF(B98&lt;&gt;"", IF(A98="", TODAY(), A98), "")</f>
        <v/>
      </c>
      <c r="F98">
        <f>IF(AND(D98&lt;&gt;"",E98&lt;&gt;"",H98&lt;&gt;""), IF(C98="Short", (D98-E98)*H98*100*SETTINGS!$B$10, (E98-D98)*H98*100*SETTINGS!$B$10), "")</f>
        <v/>
      </c>
      <c r="H98">
        <f>IFERROR(INDEX('TRADING PLAN'!E:E, MATCH("←", 'TRADING PLAN'!J:J, 0)),"")</f>
        <v/>
      </c>
    </row>
    <row r="99">
      <c r="A99">
        <f>IF(B99&lt;&gt;"", IF(A99="", TODAY(), A99), "")</f>
        <v/>
      </c>
      <c r="F99">
        <f>IF(AND(D99&lt;&gt;"",E99&lt;&gt;"",H99&lt;&gt;""), IF(C99="Short", (D99-E99)*H99*100*SETTINGS!$B$10, (E99-D99)*H99*100*SETTINGS!$B$10), "")</f>
        <v/>
      </c>
      <c r="H99">
        <f>IFERROR(INDEX('TRADING PLAN'!E:E, MATCH("←", 'TRADING PLAN'!J:J, 0)),"")</f>
        <v/>
      </c>
    </row>
    <row r="100">
      <c r="A100">
        <f>IF(B100&lt;&gt;"", IF(A100="", TODAY(), A100), "")</f>
        <v/>
      </c>
      <c r="F100">
        <f>IF(AND(D100&lt;&gt;"",E100&lt;&gt;"",H100&lt;&gt;""), IF(C100="Short", (D100-E100)*H100*100*SETTINGS!$B$10, (E100-D100)*H100*100*SETTINGS!$B$10), "")</f>
        <v/>
      </c>
      <c r="H100">
        <f>IFERROR(INDEX('TRADING PLAN'!E:E, MATCH("←", 'TRADING PLAN'!J:J, 0)),"")</f>
        <v/>
      </c>
    </row>
    <row r="101">
      <c r="A101">
        <f>IF(B101&lt;&gt;"", IF(A101="", TODAY(), A101), "")</f>
        <v/>
      </c>
      <c r="F101">
        <f>IF(AND(D101&lt;&gt;"",E101&lt;&gt;"",H101&lt;&gt;""), IF(C101="Short", (D101-E101)*H101*100*SETTINGS!$B$10, (E101-D101)*H101*100*SETTINGS!$B$10), "")</f>
        <v/>
      </c>
      <c r="H101">
        <f>IFERROR(INDEX('TRADING PLAN'!E:E, MATCH("←", 'TRADING PLAN'!J:J, 0)),"")</f>
        <v/>
      </c>
    </row>
    <row r="102">
      <c r="A102">
        <f>IF(B102&lt;&gt;"", IF(A102="", TODAY(), A102), "")</f>
        <v/>
      </c>
      <c r="F102">
        <f>IF(AND(D102&lt;&gt;"",E102&lt;&gt;"",H102&lt;&gt;""), IF(C102="Short", (D102-E102)*H102*100*SETTINGS!$B$10, (E102-D102)*H102*100*SETTINGS!$B$10), "")</f>
        <v/>
      </c>
      <c r="H102">
        <f>IFERROR(INDEX('TRADING PLAN'!E:E, MATCH("←", 'TRADING PLAN'!J:J, 0)),"")</f>
        <v/>
      </c>
    </row>
    <row r="103">
      <c r="A103">
        <f>IF(B103&lt;&gt;"", IF(A103="", TODAY(), A103), "")</f>
        <v/>
      </c>
      <c r="F103">
        <f>IF(AND(D103&lt;&gt;"",E103&lt;&gt;"",H103&lt;&gt;""), IF(C103="Short", (D103-E103)*H103*100*SETTINGS!$B$10, (E103-D103)*H103*100*SETTINGS!$B$10), "")</f>
        <v/>
      </c>
      <c r="H103">
        <f>IFERROR(INDEX('TRADING PLAN'!E:E, MATCH("←", 'TRADING PLAN'!J:J, 0)),"")</f>
        <v/>
      </c>
    </row>
    <row r="104">
      <c r="A104">
        <f>IF(B104&lt;&gt;"", IF(A104="", TODAY(), A104), "")</f>
        <v/>
      </c>
      <c r="F104">
        <f>IF(AND(D104&lt;&gt;"",E104&lt;&gt;"",H104&lt;&gt;""), IF(C104="Short", (D104-E104)*H104*100*SETTINGS!$B$10, (E104-D104)*H104*100*SETTINGS!$B$10), "")</f>
        <v/>
      </c>
      <c r="H104">
        <f>IFERROR(INDEX('TRADING PLAN'!E:E, MATCH("←", 'TRADING PLAN'!J:J, 0)),"")</f>
        <v/>
      </c>
    </row>
    <row r="105">
      <c r="A105">
        <f>IF(B105&lt;&gt;"", IF(A105="", TODAY(), A105), "")</f>
        <v/>
      </c>
      <c r="F105">
        <f>IF(AND(D105&lt;&gt;"",E105&lt;&gt;"",H105&lt;&gt;""), IF(C105="Short", (D105-E105)*H105*100*SETTINGS!$B$10, (E105-D105)*H105*100*SETTINGS!$B$10), "")</f>
        <v/>
      </c>
      <c r="H105">
        <f>IFERROR(INDEX('TRADING PLAN'!E:E, MATCH("←", 'TRADING PLAN'!J:J, 0)),"")</f>
        <v/>
      </c>
    </row>
    <row r="106">
      <c r="A106">
        <f>IF(B106&lt;&gt;"", IF(A106="", TODAY(), A106), "")</f>
        <v/>
      </c>
      <c r="F106">
        <f>IF(AND(D106&lt;&gt;"",E106&lt;&gt;"",H106&lt;&gt;""), IF(C106="Short", (D106-E106)*H106*100*SETTINGS!$B$10, (E106-D106)*H106*100*SETTINGS!$B$10), "")</f>
        <v/>
      </c>
      <c r="H106">
        <f>IFERROR(INDEX('TRADING PLAN'!E:E, MATCH("←", 'TRADING PLAN'!J:J, 0)),"")</f>
        <v/>
      </c>
    </row>
    <row r="107">
      <c r="A107">
        <f>IF(B107&lt;&gt;"", IF(A107="", TODAY(), A107), "")</f>
        <v/>
      </c>
      <c r="F107">
        <f>IF(AND(D107&lt;&gt;"",E107&lt;&gt;"",H107&lt;&gt;""), IF(C107="Short", (D107-E107)*H107*100*SETTINGS!$B$10, (E107-D107)*H107*100*SETTINGS!$B$10), "")</f>
        <v/>
      </c>
      <c r="H107">
        <f>IFERROR(INDEX('TRADING PLAN'!E:E, MATCH("←", 'TRADING PLAN'!J:J, 0)),"")</f>
        <v/>
      </c>
    </row>
    <row r="108">
      <c r="A108">
        <f>IF(B108&lt;&gt;"", IF(A108="", TODAY(), A108), "")</f>
        <v/>
      </c>
      <c r="F108">
        <f>IF(AND(D108&lt;&gt;"",E108&lt;&gt;"",H108&lt;&gt;""), IF(C108="Short", (D108-E108)*H108*100*SETTINGS!$B$10, (E108-D108)*H108*100*SETTINGS!$B$10), "")</f>
        <v/>
      </c>
      <c r="H108">
        <f>IFERROR(INDEX('TRADING PLAN'!E:E, MATCH("←", 'TRADING PLAN'!J:J, 0)),"")</f>
        <v/>
      </c>
    </row>
    <row r="109">
      <c r="A109">
        <f>IF(B109&lt;&gt;"", IF(A109="", TODAY(), A109), "")</f>
        <v/>
      </c>
      <c r="F109">
        <f>IF(AND(D109&lt;&gt;"",E109&lt;&gt;"",H109&lt;&gt;""), IF(C109="Short", (D109-E109)*H109*100*SETTINGS!$B$10, (E109-D109)*H109*100*SETTINGS!$B$10), "")</f>
        <v/>
      </c>
      <c r="H109">
        <f>IFERROR(INDEX('TRADING PLAN'!E:E, MATCH("←", 'TRADING PLAN'!J:J, 0)),"")</f>
        <v/>
      </c>
    </row>
    <row r="110">
      <c r="A110">
        <f>IF(B110&lt;&gt;"", IF(A110="", TODAY(), A110), "")</f>
        <v/>
      </c>
      <c r="F110">
        <f>IF(AND(D110&lt;&gt;"",E110&lt;&gt;"",H110&lt;&gt;""), IF(C110="Short", (D110-E110)*H110*100*SETTINGS!$B$10, (E110-D110)*H110*100*SETTINGS!$B$10), "")</f>
        <v/>
      </c>
      <c r="H110">
        <f>IFERROR(INDEX('TRADING PLAN'!E:E, MATCH("←", 'TRADING PLAN'!J:J, 0)),"")</f>
        <v/>
      </c>
    </row>
    <row r="111">
      <c r="A111">
        <f>IF(B111&lt;&gt;"", IF(A111="", TODAY(), A111), "")</f>
        <v/>
      </c>
      <c r="F111">
        <f>IF(AND(D111&lt;&gt;"",E111&lt;&gt;"",H111&lt;&gt;""), IF(C111="Short", (D111-E111)*H111*100*SETTINGS!$B$10, (E111-D111)*H111*100*SETTINGS!$B$10), "")</f>
        <v/>
      </c>
      <c r="H111">
        <f>IFERROR(INDEX('TRADING PLAN'!E:E, MATCH("←", 'TRADING PLAN'!J:J, 0)),"")</f>
        <v/>
      </c>
    </row>
    <row r="112">
      <c r="A112">
        <f>IF(B112&lt;&gt;"", IF(A112="", TODAY(), A112), "")</f>
        <v/>
      </c>
      <c r="F112">
        <f>IF(AND(D112&lt;&gt;"",E112&lt;&gt;"",H112&lt;&gt;""), IF(C112="Short", (D112-E112)*H112*100*SETTINGS!$B$10, (E112-D112)*H112*100*SETTINGS!$B$10), "")</f>
        <v/>
      </c>
      <c r="H112">
        <f>IFERROR(INDEX('TRADING PLAN'!E:E, MATCH("←", 'TRADING PLAN'!J:J, 0)),"")</f>
        <v/>
      </c>
    </row>
    <row r="113">
      <c r="A113">
        <f>IF(B113&lt;&gt;"", IF(A113="", TODAY(), A113), "")</f>
        <v/>
      </c>
      <c r="F113">
        <f>IF(AND(D113&lt;&gt;"",E113&lt;&gt;"",H113&lt;&gt;""), IF(C113="Short", (D113-E113)*H113*100*SETTINGS!$B$10, (E113-D113)*H113*100*SETTINGS!$B$10), "")</f>
        <v/>
      </c>
      <c r="H113">
        <f>IFERROR(INDEX('TRADING PLAN'!E:E, MATCH("←", 'TRADING PLAN'!J:J, 0)),"")</f>
        <v/>
      </c>
    </row>
    <row r="114">
      <c r="A114">
        <f>IF(B114&lt;&gt;"", IF(A114="", TODAY(), A114), "")</f>
        <v/>
      </c>
      <c r="F114">
        <f>IF(AND(D114&lt;&gt;"",E114&lt;&gt;"",H114&lt;&gt;""), IF(C114="Short", (D114-E114)*H114*100*SETTINGS!$B$10, (E114-D114)*H114*100*SETTINGS!$B$10), "")</f>
        <v/>
      </c>
      <c r="H114">
        <f>IFERROR(INDEX('TRADING PLAN'!E:E, MATCH("←", 'TRADING PLAN'!J:J, 0)),"")</f>
        <v/>
      </c>
    </row>
    <row r="115">
      <c r="A115">
        <f>IF(B115&lt;&gt;"", IF(A115="", TODAY(), A115), "")</f>
        <v/>
      </c>
      <c r="F115">
        <f>IF(AND(D115&lt;&gt;"",E115&lt;&gt;"",H115&lt;&gt;""), IF(C115="Short", (D115-E115)*H115*100*SETTINGS!$B$10, (E115-D115)*H115*100*SETTINGS!$B$10), "")</f>
        <v/>
      </c>
      <c r="H115">
        <f>IFERROR(INDEX('TRADING PLAN'!E:E, MATCH("←", 'TRADING PLAN'!J:J, 0)),"")</f>
        <v/>
      </c>
    </row>
    <row r="116">
      <c r="A116">
        <f>IF(B116&lt;&gt;"", IF(A116="", TODAY(), A116), "")</f>
        <v/>
      </c>
      <c r="F116">
        <f>IF(AND(D116&lt;&gt;"",E116&lt;&gt;"",H116&lt;&gt;""), IF(C116="Short", (D116-E116)*H116*100*SETTINGS!$B$10, (E116-D116)*H116*100*SETTINGS!$B$10), "")</f>
        <v/>
      </c>
      <c r="H116">
        <f>IFERROR(INDEX('TRADING PLAN'!E:E, MATCH("←", 'TRADING PLAN'!J:J, 0)),"")</f>
        <v/>
      </c>
    </row>
    <row r="117">
      <c r="A117">
        <f>IF(B117&lt;&gt;"", IF(A117="", TODAY(), A117), "")</f>
        <v/>
      </c>
      <c r="F117">
        <f>IF(AND(D117&lt;&gt;"",E117&lt;&gt;"",H117&lt;&gt;""), IF(C117="Short", (D117-E117)*H117*100*SETTINGS!$B$10, (E117-D117)*H117*100*SETTINGS!$B$10), "")</f>
        <v/>
      </c>
      <c r="H117">
        <f>IFERROR(INDEX('TRADING PLAN'!E:E, MATCH("←", 'TRADING PLAN'!J:J, 0)),"")</f>
        <v/>
      </c>
    </row>
    <row r="118">
      <c r="A118">
        <f>IF(B118&lt;&gt;"", IF(A118="", TODAY(), A118), "")</f>
        <v/>
      </c>
      <c r="F118">
        <f>IF(AND(D118&lt;&gt;"",E118&lt;&gt;"",H118&lt;&gt;""), IF(C118="Short", (D118-E118)*H118*100*SETTINGS!$B$10, (E118-D118)*H118*100*SETTINGS!$B$10), "")</f>
        <v/>
      </c>
      <c r="H118">
        <f>IFERROR(INDEX('TRADING PLAN'!E:E, MATCH("←", 'TRADING PLAN'!J:J, 0)),"")</f>
        <v/>
      </c>
    </row>
    <row r="119">
      <c r="A119">
        <f>IF(B119&lt;&gt;"", IF(A119="", TODAY(), A119), "")</f>
        <v/>
      </c>
      <c r="F119">
        <f>IF(AND(D119&lt;&gt;"",E119&lt;&gt;"",H119&lt;&gt;""), IF(C119="Short", (D119-E119)*H119*100*SETTINGS!$B$10, (E119-D119)*H119*100*SETTINGS!$B$10), "")</f>
        <v/>
      </c>
      <c r="H119">
        <f>IFERROR(INDEX('TRADING PLAN'!E:E, MATCH("←", 'TRADING PLAN'!J:J, 0)),"")</f>
        <v/>
      </c>
    </row>
    <row r="120">
      <c r="A120">
        <f>IF(B120&lt;&gt;"", IF(A120="", TODAY(), A120), "")</f>
        <v/>
      </c>
      <c r="F120">
        <f>IF(AND(D120&lt;&gt;"",E120&lt;&gt;"",H120&lt;&gt;""), IF(C120="Short", (D120-E120)*H120*100*SETTINGS!$B$10, (E120-D120)*H120*100*SETTINGS!$B$10), "")</f>
        <v/>
      </c>
      <c r="H120">
        <f>IFERROR(INDEX('TRADING PLAN'!E:E, MATCH("←", 'TRADING PLAN'!J:J, 0)),"")</f>
        <v/>
      </c>
    </row>
    <row r="121">
      <c r="A121">
        <f>IF(B121&lt;&gt;"", IF(A121="", TODAY(), A121), "")</f>
        <v/>
      </c>
      <c r="F121">
        <f>IF(AND(D121&lt;&gt;"",E121&lt;&gt;"",H121&lt;&gt;""), IF(C121="Short", (D121-E121)*H121*100*SETTINGS!$B$10, (E121-D121)*H121*100*SETTINGS!$B$10), "")</f>
        <v/>
      </c>
      <c r="H121">
        <f>IFERROR(INDEX('TRADING PLAN'!E:E, MATCH("←", 'TRADING PLAN'!J:J, 0)),"")</f>
        <v/>
      </c>
    </row>
    <row r="122">
      <c r="A122">
        <f>IF(B122&lt;&gt;"", IF(A122="", TODAY(), A122), "")</f>
        <v/>
      </c>
      <c r="F122">
        <f>IF(AND(D122&lt;&gt;"",E122&lt;&gt;"",H122&lt;&gt;""), IF(C122="Short", (D122-E122)*H122*100*SETTINGS!$B$10, (E122-D122)*H122*100*SETTINGS!$B$10), "")</f>
        <v/>
      </c>
      <c r="H122">
        <f>IFERROR(INDEX('TRADING PLAN'!E:E, MATCH("←", 'TRADING PLAN'!J:J, 0)),"")</f>
        <v/>
      </c>
    </row>
    <row r="123">
      <c r="A123">
        <f>IF(B123&lt;&gt;"", IF(A123="", TODAY(), A123), "")</f>
        <v/>
      </c>
      <c r="F123">
        <f>IF(AND(D123&lt;&gt;"",E123&lt;&gt;"",H123&lt;&gt;""), IF(C123="Short", (D123-E123)*H123*100*SETTINGS!$B$10, (E123-D123)*H123*100*SETTINGS!$B$10), "")</f>
        <v/>
      </c>
      <c r="H123">
        <f>IFERROR(INDEX('TRADING PLAN'!E:E, MATCH("←", 'TRADING PLAN'!J:J, 0)),"")</f>
        <v/>
      </c>
    </row>
    <row r="124">
      <c r="A124">
        <f>IF(B124&lt;&gt;"", IF(A124="", TODAY(), A124), "")</f>
        <v/>
      </c>
      <c r="F124">
        <f>IF(AND(D124&lt;&gt;"",E124&lt;&gt;"",H124&lt;&gt;""), IF(C124="Short", (D124-E124)*H124*100*SETTINGS!$B$10, (E124-D124)*H124*100*SETTINGS!$B$10), "")</f>
        <v/>
      </c>
      <c r="H124">
        <f>IFERROR(INDEX('TRADING PLAN'!E:E, MATCH("←", 'TRADING PLAN'!J:J, 0)),"")</f>
        <v/>
      </c>
    </row>
    <row r="125">
      <c r="A125">
        <f>IF(B125&lt;&gt;"", IF(A125="", TODAY(), A125), "")</f>
        <v/>
      </c>
      <c r="F125">
        <f>IF(AND(D125&lt;&gt;"",E125&lt;&gt;"",H125&lt;&gt;""), IF(C125="Short", (D125-E125)*H125*100*SETTINGS!$B$10, (E125-D125)*H125*100*SETTINGS!$B$10), "")</f>
        <v/>
      </c>
      <c r="H125">
        <f>IFERROR(INDEX('TRADING PLAN'!E:E, MATCH("←", 'TRADING PLAN'!J:J, 0)),"")</f>
        <v/>
      </c>
    </row>
    <row r="126">
      <c r="A126">
        <f>IF(B126&lt;&gt;"", IF(A126="", TODAY(), A126), "")</f>
        <v/>
      </c>
      <c r="F126">
        <f>IF(AND(D126&lt;&gt;"",E126&lt;&gt;"",H126&lt;&gt;""), IF(C126="Short", (D126-E126)*H126*100*SETTINGS!$B$10, (E126-D126)*H126*100*SETTINGS!$B$10), "")</f>
        <v/>
      </c>
      <c r="H126">
        <f>IFERROR(INDEX('TRADING PLAN'!E:E, MATCH("←", 'TRADING PLAN'!J:J, 0)),"")</f>
        <v/>
      </c>
    </row>
    <row r="127">
      <c r="A127">
        <f>IF(B127&lt;&gt;"", IF(A127="", TODAY(), A127), "")</f>
        <v/>
      </c>
      <c r="F127">
        <f>IF(AND(D127&lt;&gt;"",E127&lt;&gt;"",H127&lt;&gt;""), IF(C127="Short", (D127-E127)*H127*100*SETTINGS!$B$10, (E127-D127)*H127*100*SETTINGS!$B$10), "")</f>
        <v/>
      </c>
      <c r="H127">
        <f>IFERROR(INDEX('TRADING PLAN'!E:E, MATCH("←", 'TRADING PLAN'!J:J, 0)),"")</f>
        <v/>
      </c>
    </row>
    <row r="128">
      <c r="A128">
        <f>IF(B128&lt;&gt;"", IF(A128="", TODAY(), A128), "")</f>
        <v/>
      </c>
      <c r="F128">
        <f>IF(AND(D128&lt;&gt;"",E128&lt;&gt;"",H128&lt;&gt;""), IF(C128="Short", (D128-E128)*H128*100*SETTINGS!$B$10, (E128-D128)*H128*100*SETTINGS!$B$10), "")</f>
        <v/>
      </c>
      <c r="H128">
        <f>IFERROR(INDEX('TRADING PLAN'!E:E, MATCH("←", 'TRADING PLAN'!J:J, 0)),"")</f>
        <v/>
      </c>
    </row>
    <row r="129">
      <c r="A129">
        <f>IF(B129&lt;&gt;"", IF(A129="", TODAY(), A129), "")</f>
        <v/>
      </c>
      <c r="F129">
        <f>IF(AND(D129&lt;&gt;"",E129&lt;&gt;"",H129&lt;&gt;""), IF(C129="Short", (D129-E129)*H129*100*SETTINGS!$B$10, (E129-D129)*H129*100*SETTINGS!$B$10), "")</f>
        <v/>
      </c>
      <c r="H129">
        <f>IFERROR(INDEX('TRADING PLAN'!E:E, MATCH("←", 'TRADING PLAN'!J:J, 0)),"")</f>
        <v/>
      </c>
    </row>
    <row r="130">
      <c r="A130">
        <f>IF(B130&lt;&gt;"", IF(A130="", TODAY(), A130), "")</f>
        <v/>
      </c>
      <c r="F130">
        <f>IF(AND(D130&lt;&gt;"",E130&lt;&gt;"",H130&lt;&gt;""), IF(C130="Short", (D130-E130)*H130*100*SETTINGS!$B$10, (E130-D130)*H130*100*SETTINGS!$B$10), "")</f>
        <v/>
      </c>
      <c r="H130">
        <f>IFERROR(INDEX('TRADING PLAN'!E:E, MATCH("←", 'TRADING PLAN'!J:J, 0)),"")</f>
        <v/>
      </c>
    </row>
    <row r="131">
      <c r="A131">
        <f>IF(B131&lt;&gt;"", IF(A131="", TODAY(), A131), "")</f>
        <v/>
      </c>
      <c r="F131">
        <f>IF(AND(D131&lt;&gt;"",E131&lt;&gt;"",H131&lt;&gt;""), IF(C131="Short", (D131-E131)*H131*100*SETTINGS!$B$10, (E131-D131)*H131*100*SETTINGS!$B$10), "")</f>
        <v/>
      </c>
      <c r="H131">
        <f>IFERROR(INDEX('TRADING PLAN'!E:E, MATCH("←", 'TRADING PLAN'!J:J, 0)),"")</f>
        <v/>
      </c>
    </row>
    <row r="132">
      <c r="A132">
        <f>IF(B132&lt;&gt;"", IF(A132="", TODAY(), A132), "")</f>
        <v/>
      </c>
      <c r="F132">
        <f>IF(AND(D132&lt;&gt;"",E132&lt;&gt;"",H132&lt;&gt;""), IF(C132="Short", (D132-E132)*H132*100*SETTINGS!$B$10, (E132-D132)*H132*100*SETTINGS!$B$10), "")</f>
        <v/>
      </c>
      <c r="H132">
        <f>IFERROR(INDEX('TRADING PLAN'!E:E, MATCH("←", 'TRADING PLAN'!J:J, 0)),"")</f>
        <v/>
      </c>
    </row>
    <row r="133">
      <c r="A133">
        <f>IF(B133&lt;&gt;"", IF(A133="", TODAY(), A133), "")</f>
        <v/>
      </c>
      <c r="F133">
        <f>IF(AND(D133&lt;&gt;"",E133&lt;&gt;"",H133&lt;&gt;""), IF(C133="Short", (D133-E133)*H133*100*SETTINGS!$B$10, (E133-D133)*H133*100*SETTINGS!$B$10), "")</f>
        <v/>
      </c>
      <c r="H133">
        <f>IFERROR(INDEX('TRADING PLAN'!E:E, MATCH("←", 'TRADING PLAN'!J:J, 0)),"")</f>
        <v/>
      </c>
    </row>
    <row r="134">
      <c r="A134">
        <f>IF(B134&lt;&gt;"", IF(A134="", TODAY(), A134), "")</f>
        <v/>
      </c>
      <c r="F134">
        <f>IF(AND(D134&lt;&gt;"",E134&lt;&gt;"",H134&lt;&gt;""), IF(C134="Short", (D134-E134)*H134*100*SETTINGS!$B$10, (E134-D134)*H134*100*SETTINGS!$B$10), "")</f>
        <v/>
      </c>
      <c r="H134">
        <f>IFERROR(INDEX('TRADING PLAN'!E:E, MATCH("←", 'TRADING PLAN'!J:J, 0)),"")</f>
        <v/>
      </c>
    </row>
    <row r="135">
      <c r="A135">
        <f>IF(B135&lt;&gt;"", IF(A135="", TODAY(), A135), "")</f>
        <v/>
      </c>
      <c r="F135">
        <f>IF(AND(D135&lt;&gt;"",E135&lt;&gt;"",H135&lt;&gt;""), IF(C135="Short", (D135-E135)*H135*100*SETTINGS!$B$10, (E135-D135)*H135*100*SETTINGS!$B$10), "")</f>
        <v/>
      </c>
      <c r="H135">
        <f>IFERROR(INDEX('TRADING PLAN'!E:E, MATCH("←", 'TRADING PLAN'!J:J, 0)),"")</f>
        <v/>
      </c>
    </row>
    <row r="136">
      <c r="A136">
        <f>IF(B136&lt;&gt;"", IF(A136="", TODAY(), A136), "")</f>
        <v/>
      </c>
      <c r="F136">
        <f>IF(AND(D136&lt;&gt;"",E136&lt;&gt;"",H136&lt;&gt;""), IF(C136="Short", (D136-E136)*H136*100*SETTINGS!$B$10, (E136-D136)*H136*100*SETTINGS!$B$10), "")</f>
        <v/>
      </c>
      <c r="H136">
        <f>IFERROR(INDEX('TRADING PLAN'!E:E, MATCH("←", 'TRADING PLAN'!J:J, 0)),"")</f>
        <v/>
      </c>
    </row>
    <row r="137">
      <c r="A137">
        <f>IF(B137&lt;&gt;"", IF(A137="", TODAY(), A137), "")</f>
        <v/>
      </c>
      <c r="F137">
        <f>IF(AND(D137&lt;&gt;"",E137&lt;&gt;"",H137&lt;&gt;""), IF(C137="Short", (D137-E137)*H137*100*SETTINGS!$B$10, (E137-D137)*H137*100*SETTINGS!$B$10), "")</f>
        <v/>
      </c>
      <c r="H137">
        <f>IFERROR(INDEX('TRADING PLAN'!E:E, MATCH("←", 'TRADING PLAN'!J:J, 0)),"")</f>
        <v/>
      </c>
    </row>
    <row r="138">
      <c r="A138">
        <f>IF(B138&lt;&gt;"", IF(A138="", TODAY(), A138), "")</f>
        <v/>
      </c>
      <c r="F138">
        <f>IF(AND(D138&lt;&gt;"",E138&lt;&gt;"",H138&lt;&gt;""), IF(C138="Short", (D138-E138)*H138*100*SETTINGS!$B$10, (E138-D138)*H138*100*SETTINGS!$B$10), "")</f>
        <v/>
      </c>
      <c r="H138">
        <f>IFERROR(INDEX('TRADING PLAN'!E:E, MATCH("←", 'TRADING PLAN'!J:J, 0)),"")</f>
        <v/>
      </c>
    </row>
    <row r="139">
      <c r="A139">
        <f>IF(B139&lt;&gt;"", IF(A139="", TODAY(), A139), "")</f>
        <v/>
      </c>
      <c r="F139">
        <f>IF(AND(D139&lt;&gt;"",E139&lt;&gt;"",H139&lt;&gt;""), IF(C139="Short", (D139-E139)*H139*100*SETTINGS!$B$10, (E139-D139)*H139*100*SETTINGS!$B$10), "")</f>
        <v/>
      </c>
      <c r="H139">
        <f>IFERROR(INDEX('TRADING PLAN'!E:E, MATCH("←", 'TRADING PLAN'!J:J, 0)),"")</f>
        <v/>
      </c>
    </row>
    <row r="140">
      <c r="A140">
        <f>IF(B140&lt;&gt;"", IF(A140="", TODAY(), A140), "")</f>
        <v/>
      </c>
      <c r="F140">
        <f>IF(AND(D140&lt;&gt;"",E140&lt;&gt;"",H140&lt;&gt;""), IF(C140="Short", (D140-E140)*H140*100*SETTINGS!$B$10, (E140-D140)*H140*100*SETTINGS!$B$10), "")</f>
        <v/>
      </c>
      <c r="H140">
        <f>IFERROR(INDEX('TRADING PLAN'!E:E, MATCH("←", 'TRADING PLAN'!J:J, 0)),"")</f>
        <v/>
      </c>
    </row>
    <row r="141">
      <c r="A141">
        <f>IF(B141&lt;&gt;"", IF(A141="", TODAY(), A141), "")</f>
        <v/>
      </c>
      <c r="F141">
        <f>IF(AND(D141&lt;&gt;"",E141&lt;&gt;"",H141&lt;&gt;""), IF(C141="Short", (D141-E141)*H141*100*SETTINGS!$B$10, (E141-D141)*H141*100*SETTINGS!$B$10), "")</f>
        <v/>
      </c>
      <c r="H141">
        <f>IFERROR(INDEX('TRADING PLAN'!E:E, MATCH("←", 'TRADING PLAN'!J:J, 0)),"")</f>
        <v/>
      </c>
    </row>
    <row r="142">
      <c r="A142">
        <f>IF(B142&lt;&gt;"", IF(A142="", TODAY(), A142), "")</f>
        <v/>
      </c>
      <c r="F142">
        <f>IF(AND(D142&lt;&gt;"",E142&lt;&gt;"",H142&lt;&gt;""), IF(C142="Short", (D142-E142)*H142*100*SETTINGS!$B$10, (E142-D142)*H142*100*SETTINGS!$B$10), "")</f>
        <v/>
      </c>
      <c r="H142">
        <f>IFERROR(INDEX('TRADING PLAN'!E:E, MATCH("←", 'TRADING PLAN'!J:J, 0)),"")</f>
        <v/>
      </c>
    </row>
    <row r="143">
      <c r="A143">
        <f>IF(B143&lt;&gt;"", IF(A143="", TODAY(), A143), "")</f>
        <v/>
      </c>
      <c r="F143">
        <f>IF(AND(D143&lt;&gt;"",E143&lt;&gt;"",H143&lt;&gt;""), IF(C143="Short", (D143-E143)*H143*100*SETTINGS!$B$10, (E143-D143)*H143*100*SETTINGS!$B$10), "")</f>
        <v/>
      </c>
      <c r="H143">
        <f>IFERROR(INDEX('TRADING PLAN'!E:E, MATCH("←", 'TRADING PLAN'!J:J, 0)),"")</f>
        <v/>
      </c>
    </row>
    <row r="144">
      <c r="A144">
        <f>IF(B144&lt;&gt;"", IF(A144="", TODAY(), A144), "")</f>
        <v/>
      </c>
      <c r="F144">
        <f>IF(AND(D144&lt;&gt;"",E144&lt;&gt;"",H144&lt;&gt;""), IF(C144="Short", (D144-E144)*H144*100*SETTINGS!$B$10, (E144-D144)*H144*100*SETTINGS!$B$10), "")</f>
        <v/>
      </c>
      <c r="H144">
        <f>IFERROR(INDEX('TRADING PLAN'!E:E, MATCH("←", 'TRADING PLAN'!J:J, 0)),"")</f>
        <v/>
      </c>
    </row>
    <row r="145">
      <c r="A145">
        <f>IF(B145&lt;&gt;"", IF(A145="", TODAY(), A145), "")</f>
        <v/>
      </c>
      <c r="F145">
        <f>IF(AND(D145&lt;&gt;"",E145&lt;&gt;"",H145&lt;&gt;""), IF(C145="Short", (D145-E145)*H145*100*SETTINGS!$B$10, (E145-D145)*H145*100*SETTINGS!$B$10), "")</f>
        <v/>
      </c>
      <c r="H145">
        <f>IFERROR(INDEX('TRADING PLAN'!E:E, MATCH("←", 'TRADING PLAN'!J:J, 0)),"")</f>
        <v/>
      </c>
    </row>
    <row r="146">
      <c r="A146">
        <f>IF(B146&lt;&gt;"", IF(A146="", TODAY(), A146), "")</f>
        <v/>
      </c>
      <c r="F146">
        <f>IF(AND(D146&lt;&gt;"",E146&lt;&gt;"",H146&lt;&gt;""), IF(C146="Short", (D146-E146)*H146*100*SETTINGS!$B$10, (E146-D146)*H146*100*SETTINGS!$B$10), "")</f>
        <v/>
      </c>
      <c r="H146">
        <f>IFERROR(INDEX('TRADING PLAN'!E:E, MATCH("←", 'TRADING PLAN'!J:J, 0)),"")</f>
        <v/>
      </c>
    </row>
    <row r="147">
      <c r="A147">
        <f>IF(B147&lt;&gt;"", IF(A147="", TODAY(), A147), "")</f>
        <v/>
      </c>
      <c r="F147">
        <f>IF(AND(D147&lt;&gt;"",E147&lt;&gt;"",H147&lt;&gt;""), IF(C147="Short", (D147-E147)*H147*100*SETTINGS!$B$10, (E147-D147)*H147*100*SETTINGS!$B$10), "")</f>
        <v/>
      </c>
      <c r="H147">
        <f>IFERROR(INDEX('TRADING PLAN'!E:E, MATCH("←", 'TRADING PLAN'!J:J, 0)),"")</f>
        <v/>
      </c>
    </row>
    <row r="148">
      <c r="A148">
        <f>IF(B148&lt;&gt;"", IF(A148="", TODAY(), A148), "")</f>
        <v/>
      </c>
      <c r="F148">
        <f>IF(AND(D148&lt;&gt;"",E148&lt;&gt;"",H148&lt;&gt;""), IF(C148="Short", (D148-E148)*H148*100*SETTINGS!$B$10, (E148-D148)*H148*100*SETTINGS!$B$10), "")</f>
        <v/>
      </c>
      <c r="H148">
        <f>IFERROR(INDEX('TRADING PLAN'!E:E, MATCH("←", 'TRADING PLAN'!J:J, 0)),"")</f>
        <v/>
      </c>
    </row>
    <row r="149">
      <c r="A149">
        <f>IF(B149&lt;&gt;"", IF(A149="", TODAY(), A149), "")</f>
        <v/>
      </c>
      <c r="F149">
        <f>IF(AND(D149&lt;&gt;"",E149&lt;&gt;"",H149&lt;&gt;""), IF(C149="Short", (D149-E149)*H149*100*SETTINGS!$B$10, (E149-D149)*H149*100*SETTINGS!$B$10), "")</f>
        <v/>
      </c>
      <c r="H149">
        <f>IFERROR(INDEX('TRADING PLAN'!E:E, MATCH("←", 'TRADING PLAN'!J:J, 0)),"")</f>
        <v/>
      </c>
    </row>
    <row r="150">
      <c r="A150">
        <f>IF(B150&lt;&gt;"", IF(A150="", TODAY(), A150), "")</f>
        <v/>
      </c>
      <c r="F150">
        <f>IF(AND(D150&lt;&gt;"",E150&lt;&gt;"",H150&lt;&gt;""), IF(C150="Short", (D150-E150)*H150*100*SETTINGS!$B$10, (E150-D150)*H150*100*SETTINGS!$B$10), "")</f>
        <v/>
      </c>
      <c r="H150">
        <f>IFERROR(INDEX('TRADING PLAN'!E:E, MATCH("←", 'TRADING PLAN'!J:J, 0)),"")</f>
        <v/>
      </c>
    </row>
    <row r="151">
      <c r="A151">
        <f>IF(B151&lt;&gt;"", IF(A151="", TODAY(), A151), "")</f>
        <v/>
      </c>
      <c r="F151">
        <f>IF(AND(D151&lt;&gt;"",E151&lt;&gt;"",H151&lt;&gt;""), IF(C151="Short", (D151-E151)*H151*100*SETTINGS!$B$10, (E151-D151)*H151*100*SETTINGS!$B$10), "")</f>
        <v/>
      </c>
      <c r="H151">
        <f>IFERROR(INDEX('TRADING PLAN'!E:E, MATCH("←", 'TRADING PLAN'!J:J, 0)),"")</f>
        <v/>
      </c>
    </row>
    <row r="152">
      <c r="A152">
        <f>IF(B152&lt;&gt;"", IF(A152="", TODAY(), A152), "")</f>
        <v/>
      </c>
      <c r="F152">
        <f>IF(AND(D152&lt;&gt;"",E152&lt;&gt;"",H152&lt;&gt;""), IF(C152="Short", (D152-E152)*H152*100*SETTINGS!$B$10, (E152-D152)*H152*100*SETTINGS!$B$10), "")</f>
        <v/>
      </c>
      <c r="H152">
        <f>IFERROR(INDEX('TRADING PLAN'!E:E, MATCH("←", 'TRADING PLAN'!J:J, 0)),"")</f>
        <v/>
      </c>
    </row>
    <row r="153">
      <c r="A153">
        <f>IF(B153&lt;&gt;"", IF(A153="", TODAY(), A153), "")</f>
        <v/>
      </c>
      <c r="F153">
        <f>IF(AND(D153&lt;&gt;"",E153&lt;&gt;"",H153&lt;&gt;""), IF(C153="Short", (D153-E153)*H153*100*SETTINGS!$B$10, (E153-D153)*H153*100*SETTINGS!$B$10), "")</f>
        <v/>
      </c>
      <c r="H153">
        <f>IFERROR(INDEX('TRADING PLAN'!E:E, MATCH("←", 'TRADING PLAN'!J:J, 0)),"")</f>
        <v/>
      </c>
    </row>
    <row r="154">
      <c r="A154">
        <f>IF(B154&lt;&gt;"", IF(A154="", TODAY(), A154), "")</f>
        <v/>
      </c>
      <c r="F154">
        <f>IF(AND(D154&lt;&gt;"",E154&lt;&gt;"",H154&lt;&gt;""), IF(C154="Short", (D154-E154)*H154*100*SETTINGS!$B$10, (E154-D154)*H154*100*SETTINGS!$B$10), "")</f>
        <v/>
      </c>
      <c r="H154">
        <f>IFERROR(INDEX('TRADING PLAN'!E:E, MATCH("←", 'TRADING PLAN'!J:J, 0)),"")</f>
        <v/>
      </c>
    </row>
    <row r="155">
      <c r="A155">
        <f>IF(B155&lt;&gt;"", IF(A155="", TODAY(), A155), "")</f>
        <v/>
      </c>
      <c r="F155">
        <f>IF(AND(D155&lt;&gt;"",E155&lt;&gt;"",H155&lt;&gt;""), IF(C155="Short", (D155-E155)*H155*100*SETTINGS!$B$10, (E155-D155)*H155*100*SETTINGS!$B$10), "")</f>
        <v/>
      </c>
      <c r="H155">
        <f>IFERROR(INDEX('TRADING PLAN'!E:E, MATCH("←", 'TRADING PLAN'!J:J, 0)),"")</f>
        <v/>
      </c>
    </row>
    <row r="156">
      <c r="A156">
        <f>IF(B156&lt;&gt;"", IF(A156="", TODAY(), A156), "")</f>
        <v/>
      </c>
      <c r="F156">
        <f>IF(AND(D156&lt;&gt;"",E156&lt;&gt;"",H156&lt;&gt;""), IF(C156="Short", (D156-E156)*H156*100*SETTINGS!$B$10, (E156-D156)*H156*100*SETTINGS!$B$10), "")</f>
        <v/>
      </c>
      <c r="H156">
        <f>IFERROR(INDEX('TRADING PLAN'!E:E, MATCH("←", 'TRADING PLAN'!J:J, 0)),"")</f>
        <v/>
      </c>
    </row>
    <row r="157">
      <c r="A157">
        <f>IF(B157&lt;&gt;"", IF(A157="", TODAY(), A157), "")</f>
        <v/>
      </c>
      <c r="F157">
        <f>IF(AND(D157&lt;&gt;"",E157&lt;&gt;"",H157&lt;&gt;""), IF(C157="Short", (D157-E157)*H157*100*SETTINGS!$B$10, (E157-D157)*H157*100*SETTINGS!$B$10), "")</f>
        <v/>
      </c>
      <c r="H157">
        <f>IFERROR(INDEX('TRADING PLAN'!E:E, MATCH("←", 'TRADING PLAN'!J:J, 0)),"")</f>
        <v/>
      </c>
    </row>
    <row r="158">
      <c r="A158">
        <f>IF(B158&lt;&gt;"", IF(A158="", TODAY(), A158), "")</f>
        <v/>
      </c>
      <c r="F158">
        <f>IF(AND(D158&lt;&gt;"",E158&lt;&gt;"",H158&lt;&gt;""), IF(C158="Short", (D158-E158)*H158*100*SETTINGS!$B$10, (E158-D158)*H158*100*SETTINGS!$B$10), "")</f>
        <v/>
      </c>
      <c r="H158">
        <f>IFERROR(INDEX('TRADING PLAN'!E:E, MATCH("←", 'TRADING PLAN'!J:J, 0)),"")</f>
        <v/>
      </c>
    </row>
    <row r="159">
      <c r="A159">
        <f>IF(B159&lt;&gt;"", IF(A159="", TODAY(), A159), "")</f>
        <v/>
      </c>
      <c r="F159">
        <f>IF(AND(D159&lt;&gt;"",E159&lt;&gt;"",H159&lt;&gt;""), IF(C159="Short", (D159-E159)*H159*100*SETTINGS!$B$10, (E159-D159)*H159*100*SETTINGS!$B$10), "")</f>
        <v/>
      </c>
      <c r="H159">
        <f>IFERROR(INDEX('TRADING PLAN'!E:E, MATCH("←", 'TRADING PLAN'!J:J, 0)),"")</f>
        <v/>
      </c>
    </row>
    <row r="160">
      <c r="A160">
        <f>IF(B160&lt;&gt;"", IF(A160="", TODAY(), A160), "")</f>
        <v/>
      </c>
      <c r="F160">
        <f>IF(AND(D160&lt;&gt;"",E160&lt;&gt;"",H160&lt;&gt;""), IF(C160="Short", (D160-E160)*H160*100*SETTINGS!$B$10, (E160-D160)*H160*100*SETTINGS!$B$10), "")</f>
        <v/>
      </c>
      <c r="H160">
        <f>IFERROR(INDEX('TRADING PLAN'!E:E, MATCH("←", 'TRADING PLAN'!J:J, 0)),"")</f>
        <v/>
      </c>
    </row>
    <row r="161">
      <c r="A161">
        <f>IF(B161&lt;&gt;"", IF(A161="", TODAY(), A161), "")</f>
        <v/>
      </c>
      <c r="F161">
        <f>IF(AND(D161&lt;&gt;"",E161&lt;&gt;"",H161&lt;&gt;""), IF(C161="Short", (D161-E161)*H161*100*SETTINGS!$B$10, (E161-D161)*H161*100*SETTINGS!$B$10), "")</f>
        <v/>
      </c>
      <c r="H161">
        <f>IFERROR(INDEX('TRADING PLAN'!E:E, MATCH("←", 'TRADING PLAN'!J:J, 0)),"")</f>
        <v/>
      </c>
    </row>
    <row r="162">
      <c r="A162">
        <f>IF(B162&lt;&gt;"", IF(A162="", TODAY(), A162), "")</f>
        <v/>
      </c>
      <c r="F162">
        <f>IF(AND(D162&lt;&gt;"",E162&lt;&gt;"",H162&lt;&gt;""), IF(C162="Short", (D162-E162)*H162*100*SETTINGS!$B$10, (E162-D162)*H162*100*SETTINGS!$B$10), "")</f>
        <v/>
      </c>
      <c r="H162">
        <f>IFERROR(INDEX('TRADING PLAN'!E:E, MATCH("←", 'TRADING PLAN'!J:J, 0)),"")</f>
        <v/>
      </c>
    </row>
    <row r="163">
      <c r="A163">
        <f>IF(B163&lt;&gt;"", IF(A163="", TODAY(), A163), "")</f>
        <v/>
      </c>
      <c r="F163">
        <f>IF(AND(D163&lt;&gt;"",E163&lt;&gt;"",H163&lt;&gt;""), IF(C163="Short", (D163-E163)*H163*100*SETTINGS!$B$10, (E163-D163)*H163*100*SETTINGS!$B$10), "")</f>
        <v/>
      </c>
      <c r="H163">
        <f>IFERROR(INDEX('TRADING PLAN'!E:E, MATCH("←", 'TRADING PLAN'!J:J, 0)),"")</f>
        <v/>
      </c>
    </row>
    <row r="164">
      <c r="A164">
        <f>IF(B164&lt;&gt;"", IF(A164="", TODAY(), A164), "")</f>
        <v/>
      </c>
      <c r="F164">
        <f>IF(AND(D164&lt;&gt;"",E164&lt;&gt;"",H164&lt;&gt;""), IF(C164="Short", (D164-E164)*H164*100*SETTINGS!$B$10, (E164-D164)*H164*100*SETTINGS!$B$10), "")</f>
        <v/>
      </c>
      <c r="H164">
        <f>IFERROR(INDEX('TRADING PLAN'!E:E, MATCH("←", 'TRADING PLAN'!J:J, 0)),"")</f>
        <v/>
      </c>
    </row>
    <row r="165">
      <c r="A165">
        <f>IF(B165&lt;&gt;"", IF(A165="", TODAY(), A165), "")</f>
        <v/>
      </c>
      <c r="F165">
        <f>IF(AND(D165&lt;&gt;"",E165&lt;&gt;"",H165&lt;&gt;""), IF(C165="Short", (D165-E165)*H165*100*SETTINGS!$B$10, (E165-D165)*H165*100*SETTINGS!$B$10), "")</f>
        <v/>
      </c>
      <c r="H165">
        <f>IFERROR(INDEX('TRADING PLAN'!E:E, MATCH("←", 'TRADING PLAN'!J:J, 0)),"")</f>
        <v/>
      </c>
    </row>
    <row r="166">
      <c r="A166">
        <f>IF(B166&lt;&gt;"", IF(A166="", TODAY(), A166), "")</f>
        <v/>
      </c>
      <c r="F166">
        <f>IF(AND(D166&lt;&gt;"",E166&lt;&gt;"",H166&lt;&gt;""), IF(C166="Short", (D166-E166)*H166*100*SETTINGS!$B$10, (E166-D166)*H166*100*SETTINGS!$B$10), "")</f>
        <v/>
      </c>
      <c r="H166">
        <f>IFERROR(INDEX('TRADING PLAN'!E:E, MATCH("←", 'TRADING PLAN'!J:J, 0)),"")</f>
        <v/>
      </c>
    </row>
    <row r="167">
      <c r="A167">
        <f>IF(B167&lt;&gt;"", IF(A167="", TODAY(), A167), "")</f>
        <v/>
      </c>
      <c r="F167">
        <f>IF(AND(D167&lt;&gt;"",E167&lt;&gt;"",H167&lt;&gt;""), IF(C167="Short", (D167-E167)*H167*100*SETTINGS!$B$10, (E167-D167)*H167*100*SETTINGS!$B$10), "")</f>
        <v/>
      </c>
      <c r="H167">
        <f>IFERROR(INDEX('TRADING PLAN'!E:E, MATCH("←", 'TRADING PLAN'!J:J, 0)),"")</f>
        <v/>
      </c>
    </row>
    <row r="168">
      <c r="A168">
        <f>IF(B168&lt;&gt;"", IF(A168="", TODAY(), A168), "")</f>
        <v/>
      </c>
      <c r="F168">
        <f>IF(AND(D168&lt;&gt;"",E168&lt;&gt;"",H168&lt;&gt;""), IF(C168="Short", (D168-E168)*H168*100*SETTINGS!$B$10, (E168-D168)*H168*100*SETTINGS!$B$10), "")</f>
        <v/>
      </c>
      <c r="H168">
        <f>IFERROR(INDEX('TRADING PLAN'!E:E, MATCH("←", 'TRADING PLAN'!J:J, 0)),"")</f>
        <v/>
      </c>
    </row>
    <row r="169">
      <c r="A169">
        <f>IF(B169&lt;&gt;"", IF(A169="", TODAY(), A169), "")</f>
        <v/>
      </c>
      <c r="F169">
        <f>IF(AND(D169&lt;&gt;"",E169&lt;&gt;"",H169&lt;&gt;""), IF(C169="Short", (D169-E169)*H169*100*SETTINGS!$B$10, (E169-D169)*H169*100*SETTINGS!$B$10), "")</f>
        <v/>
      </c>
      <c r="H169">
        <f>IFERROR(INDEX('TRADING PLAN'!E:E, MATCH("←", 'TRADING PLAN'!J:J, 0)),"")</f>
        <v/>
      </c>
    </row>
    <row r="170">
      <c r="A170">
        <f>IF(B170&lt;&gt;"", IF(A170="", TODAY(), A170), "")</f>
        <v/>
      </c>
      <c r="F170">
        <f>IF(AND(D170&lt;&gt;"",E170&lt;&gt;"",H170&lt;&gt;""), IF(C170="Short", (D170-E170)*H170*100*SETTINGS!$B$10, (E170-D170)*H170*100*SETTINGS!$B$10), "")</f>
        <v/>
      </c>
      <c r="H170">
        <f>IFERROR(INDEX('TRADING PLAN'!E:E, MATCH("←", 'TRADING PLAN'!J:J, 0)),"")</f>
        <v/>
      </c>
    </row>
    <row r="171">
      <c r="A171">
        <f>IF(B171&lt;&gt;"", IF(A171="", TODAY(), A171), "")</f>
        <v/>
      </c>
      <c r="F171">
        <f>IF(AND(D171&lt;&gt;"",E171&lt;&gt;"",H171&lt;&gt;""), IF(C171="Short", (D171-E171)*H171*100*SETTINGS!$B$10, (E171-D171)*H171*100*SETTINGS!$B$10), "")</f>
        <v/>
      </c>
      <c r="H171">
        <f>IFERROR(INDEX('TRADING PLAN'!E:E, MATCH("←", 'TRADING PLAN'!J:J, 0)),"")</f>
        <v/>
      </c>
    </row>
    <row r="172">
      <c r="A172">
        <f>IF(B172&lt;&gt;"", IF(A172="", TODAY(), A172), "")</f>
        <v/>
      </c>
      <c r="F172">
        <f>IF(AND(D172&lt;&gt;"",E172&lt;&gt;"",H172&lt;&gt;""), IF(C172="Short", (D172-E172)*H172*100*SETTINGS!$B$10, (E172-D172)*H172*100*SETTINGS!$B$10), "")</f>
        <v/>
      </c>
      <c r="H172">
        <f>IFERROR(INDEX('TRADING PLAN'!E:E, MATCH("←", 'TRADING PLAN'!J:J, 0)),"")</f>
        <v/>
      </c>
    </row>
    <row r="173">
      <c r="A173">
        <f>IF(B173&lt;&gt;"", IF(A173="", TODAY(), A173), "")</f>
        <v/>
      </c>
      <c r="F173">
        <f>IF(AND(D173&lt;&gt;"",E173&lt;&gt;"",H173&lt;&gt;""), IF(C173="Short", (D173-E173)*H173*100*SETTINGS!$B$10, (E173-D173)*H173*100*SETTINGS!$B$10), "")</f>
        <v/>
      </c>
      <c r="H173">
        <f>IFERROR(INDEX('TRADING PLAN'!E:E, MATCH("←", 'TRADING PLAN'!J:J, 0)),"")</f>
        <v/>
      </c>
    </row>
    <row r="174">
      <c r="A174">
        <f>IF(B174&lt;&gt;"", IF(A174="", TODAY(), A174), "")</f>
        <v/>
      </c>
      <c r="F174">
        <f>IF(AND(D174&lt;&gt;"",E174&lt;&gt;"",H174&lt;&gt;""), IF(C174="Short", (D174-E174)*H174*100*SETTINGS!$B$10, (E174-D174)*H174*100*SETTINGS!$B$10), "")</f>
        <v/>
      </c>
      <c r="H174">
        <f>IFERROR(INDEX('TRADING PLAN'!E:E, MATCH("←", 'TRADING PLAN'!J:J, 0)),"")</f>
        <v/>
      </c>
    </row>
    <row r="175">
      <c r="A175">
        <f>IF(B175&lt;&gt;"", IF(A175="", TODAY(), A175), "")</f>
        <v/>
      </c>
      <c r="F175">
        <f>IF(AND(D175&lt;&gt;"",E175&lt;&gt;"",H175&lt;&gt;""), IF(C175="Short", (D175-E175)*H175*100*SETTINGS!$B$10, (E175-D175)*H175*100*SETTINGS!$B$10), "")</f>
        <v/>
      </c>
      <c r="H175">
        <f>IFERROR(INDEX('TRADING PLAN'!E:E, MATCH("←", 'TRADING PLAN'!J:J, 0)),"")</f>
        <v/>
      </c>
    </row>
    <row r="176">
      <c r="A176">
        <f>IF(B176&lt;&gt;"", IF(A176="", TODAY(), A176), "")</f>
        <v/>
      </c>
      <c r="F176">
        <f>IF(AND(D176&lt;&gt;"",E176&lt;&gt;"",H176&lt;&gt;""), IF(C176="Short", (D176-E176)*H176*100*SETTINGS!$B$10, (E176-D176)*H176*100*SETTINGS!$B$10), "")</f>
        <v/>
      </c>
      <c r="H176">
        <f>IFERROR(INDEX('TRADING PLAN'!E:E, MATCH("←", 'TRADING PLAN'!J:J, 0)),"")</f>
        <v/>
      </c>
    </row>
    <row r="177">
      <c r="A177">
        <f>IF(B177&lt;&gt;"", IF(A177="", TODAY(), A177), "")</f>
        <v/>
      </c>
      <c r="F177">
        <f>IF(AND(D177&lt;&gt;"",E177&lt;&gt;"",H177&lt;&gt;""), IF(C177="Short", (D177-E177)*H177*100*SETTINGS!$B$10, (E177-D177)*H177*100*SETTINGS!$B$10), "")</f>
        <v/>
      </c>
      <c r="H177">
        <f>IFERROR(INDEX('TRADING PLAN'!E:E, MATCH("←", 'TRADING PLAN'!J:J, 0)),"")</f>
        <v/>
      </c>
    </row>
    <row r="178">
      <c r="A178">
        <f>IF(B178&lt;&gt;"", IF(A178="", TODAY(), A178), "")</f>
        <v/>
      </c>
      <c r="F178">
        <f>IF(AND(D178&lt;&gt;"",E178&lt;&gt;"",H178&lt;&gt;""), IF(C178="Short", (D178-E178)*H178*100*SETTINGS!$B$10, (E178-D178)*H178*100*SETTINGS!$B$10), "")</f>
        <v/>
      </c>
      <c r="H178">
        <f>IFERROR(INDEX('TRADING PLAN'!E:E, MATCH("←", 'TRADING PLAN'!J:J, 0)),"")</f>
        <v/>
      </c>
    </row>
    <row r="179">
      <c r="A179">
        <f>IF(B179&lt;&gt;"", IF(A179="", TODAY(), A179), "")</f>
        <v/>
      </c>
      <c r="F179">
        <f>IF(AND(D179&lt;&gt;"",E179&lt;&gt;"",H179&lt;&gt;""), IF(C179="Short", (D179-E179)*H179*100*SETTINGS!$B$10, (E179-D179)*H179*100*SETTINGS!$B$10), "")</f>
        <v/>
      </c>
      <c r="H179">
        <f>IFERROR(INDEX('TRADING PLAN'!E:E, MATCH("←", 'TRADING PLAN'!J:J, 0)),"")</f>
        <v/>
      </c>
    </row>
    <row r="180">
      <c r="A180">
        <f>IF(B180&lt;&gt;"", IF(A180="", TODAY(), A180), "")</f>
        <v/>
      </c>
      <c r="F180">
        <f>IF(AND(D180&lt;&gt;"",E180&lt;&gt;"",H180&lt;&gt;""), IF(C180="Short", (D180-E180)*H180*100*SETTINGS!$B$10, (E180-D180)*H180*100*SETTINGS!$B$10), "")</f>
        <v/>
      </c>
      <c r="H180">
        <f>IFERROR(INDEX('TRADING PLAN'!E:E, MATCH("←", 'TRADING PLAN'!J:J, 0)),"")</f>
        <v/>
      </c>
    </row>
    <row r="181">
      <c r="A181">
        <f>IF(B181&lt;&gt;"", IF(A181="", TODAY(), A181), "")</f>
        <v/>
      </c>
      <c r="F181">
        <f>IF(AND(D181&lt;&gt;"",E181&lt;&gt;"",H181&lt;&gt;""), IF(C181="Short", (D181-E181)*H181*100*SETTINGS!$B$10, (E181-D181)*H181*100*SETTINGS!$B$10), "")</f>
        <v/>
      </c>
      <c r="H181">
        <f>IFERROR(INDEX('TRADING PLAN'!E:E, MATCH("←", 'TRADING PLAN'!J:J, 0)),"")</f>
        <v/>
      </c>
    </row>
    <row r="182">
      <c r="A182">
        <f>IF(B182&lt;&gt;"", IF(A182="", TODAY(), A182), "")</f>
        <v/>
      </c>
      <c r="F182">
        <f>IF(AND(D182&lt;&gt;"",E182&lt;&gt;"",H182&lt;&gt;""), IF(C182="Short", (D182-E182)*H182*100*SETTINGS!$B$10, (E182-D182)*H182*100*SETTINGS!$B$10), "")</f>
        <v/>
      </c>
      <c r="H182">
        <f>IFERROR(INDEX('TRADING PLAN'!E:E, MATCH("←", 'TRADING PLAN'!J:J, 0)),"")</f>
        <v/>
      </c>
    </row>
    <row r="183">
      <c r="A183">
        <f>IF(B183&lt;&gt;"", IF(A183="", TODAY(), A183), "")</f>
        <v/>
      </c>
      <c r="F183">
        <f>IF(AND(D183&lt;&gt;"",E183&lt;&gt;"",H183&lt;&gt;""), IF(C183="Short", (D183-E183)*H183*100*SETTINGS!$B$10, (E183-D183)*H183*100*SETTINGS!$B$10), "")</f>
        <v/>
      </c>
      <c r="H183">
        <f>IFERROR(INDEX('TRADING PLAN'!E:E, MATCH("←", 'TRADING PLAN'!J:J, 0)),"")</f>
        <v/>
      </c>
    </row>
    <row r="184">
      <c r="A184">
        <f>IF(B184&lt;&gt;"", IF(A184="", TODAY(), A184), "")</f>
        <v/>
      </c>
      <c r="F184">
        <f>IF(AND(D184&lt;&gt;"",E184&lt;&gt;"",H184&lt;&gt;""), IF(C184="Short", (D184-E184)*H184*100*SETTINGS!$B$10, (E184-D184)*H184*100*SETTINGS!$B$10), "")</f>
        <v/>
      </c>
      <c r="H184">
        <f>IFERROR(INDEX('TRADING PLAN'!E:E, MATCH("←", 'TRADING PLAN'!J:J, 0)),"")</f>
        <v/>
      </c>
    </row>
    <row r="185">
      <c r="A185">
        <f>IF(B185&lt;&gt;"", IF(A185="", TODAY(), A185), "")</f>
        <v/>
      </c>
      <c r="F185">
        <f>IF(AND(D185&lt;&gt;"",E185&lt;&gt;"",H185&lt;&gt;""), IF(C185="Short", (D185-E185)*H185*100*SETTINGS!$B$10, (E185-D185)*H185*100*SETTINGS!$B$10), "")</f>
        <v/>
      </c>
      <c r="H185">
        <f>IFERROR(INDEX('TRADING PLAN'!E:E, MATCH("←", 'TRADING PLAN'!J:J, 0)),"")</f>
        <v/>
      </c>
    </row>
    <row r="186">
      <c r="A186">
        <f>IF(B186&lt;&gt;"", IF(A186="", TODAY(), A186), "")</f>
        <v/>
      </c>
      <c r="F186">
        <f>IF(AND(D186&lt;&gt;"",E186&lt;&gt;"",H186&lt;&gt;""), IF(C186="Short", (D186-E186)*H186*100*SETTINGS!$B$10, (E186-D186)*H186*100*SETTINGS!$B$10), "")</f>
        <v/>
      </c>
      <c r="H186">
        <f>IFERROR(INDEX('TRADING PLAN'!E:E, MATCH("←", 'TRADING PLAN'!J:J, 0)),"")</f>
        <v/>
      </c>
    </row>
    <row r="187">
      <c r="A187">
        <f>IF(B187&lt;&gt;"", IF(A187="", TODAY(), A187), "")</f>
        <v/>
      </c>
      <c r="F187">
        <f>IF(AND(D187&lt;&gt;"",E187&lt;&gt;"",H187&lt;&gt;""), IF(C187="Short", (D187-E187)*H187*100*SETTINGS!$B$10, (E187-D187)*H187*100*SETTINGS!$B$10), "")</f>
        <v/>
      </c>
      <c r="H187">
        <f>IFERROR(INDEX('TRADING PLAN'!E:E, MATCH("←", 'TRADING PLAN'!J:J, 0)),"")</f>
        <v/>
      </c>
    </row>
    <row r="188">
      <c r="A188">
        <f>IF(B188&lt;&gt;"", IF(A188="", TODAY(), A188), "")</f>
        <v/>
      </c>
      <c r="F188">
        <f>IF(AND(D188&lt;&gt;"",E188&lt;&gt;"",H188&lt;&gt;""), IF(C188="Short", (D188-E188)*H188*100*SETTINGS!$B$10, (E188-D188)*H188*100*SETTINGS!$B$10), "")</f>
        <v/>
      </c>
      <c r="H188">
        <f>IFERROR(INDEX('TRADING PLAN'!E:E, MATCH("←", 'TRADING PLAN'!J:J, 0)),"")</f>
        <v/>
      </c>
    </row>
    <row r="189">
      <c r="A189">
        <f>IF(B189&lt;&gt;"", IF(A189="", TODAY(), A189), "")</f>
        <v/>
      </c>
      <c r="F189">
        <f>IF(AND(D189&lt;&gt;"",E189&lt;&gt;"",H189&lt;&gt;""), IF(C189="Short", (D189-E189)*H189*100*SETTINGS!$B$10, (E189-D189)*H189*100*SETTINGS!$B$10), "")</f>
        <v/>
      </c>
      <c r="H189">
        <f>IFERROR(INDEX('TRADING PLAN'!E:E, MATCH("←", 'TRADING PLAN'!J:J, 0)),"")</f>
        <v/>
      </c>
    </row>
    <row r="190">
      <c r="A190">
        <f>IF(B190&lt;&gt;"", IF(A190="", TODAY(), A190), "")</f>
        <v/>
      </c>
      <c r="F190">
        <f>IF(AND(D190&lt;&gt;"",E190&lt;&gt;"",H190&lt;&gt;""), IF(C190="Short", (D190-E190)*H190*100*SETTINGS!$B$10, (E190-D190)*H190*100*SETTINGS!$B$10), "")</f>
        <v/>
      </c>
      <c r="H190">
        <f>IFERROR(INDEX('TRADING PLAN'!E:E, MATCH("←", 'TRADING PLAN'!J:J, 0)),"")</f>
        <v/>
      </c>
    </row>
    <row r="191">
      <c r="A191">
        <f>IF(B191&lt;&gt;"", IF(A191="", TODAY(), A191), "")</f>
        <v/>
      </c>
      <c r="F191">
        <f>IF(AND(D191&lt;&gt;"",E191&lt;&gt;"",H191&lt;&gt;""), IF(C191="Short", (D191-E191)*H191*100*SETTINGS!$B$10, (E191-D191)*H191*100*SETTINGS!$B$10), "")</f>
        <v/>
      </c>
      <c r="H191">
        <f>IFERROR(INDEX('TRADING PLAN'!E:E, MATCH("←", 'TRADING PLAN'!J:J, 0)),"")</f>
        <v/>
      </c>
    </row>
    <row r="192">
      <c r="A192">
        <f>IF(B192&lt;&gt;"", IF(A192="", TODAY(), A192), "")</f>
        <v/>
      </c>
      <c r="F192">
        <f>IF(AND(D192&lt;&gt;"",E192&lt;&gt;"",H192&lt;&gt;""), IF(C192="Short", (D192-E192)*H192*100*SETTINGS!$B$10, (E192-D192)*H192*100*SETTINGS!$B$10), "")</f>
        <v/>
      </c>
      <c r="H192">
        <f>IFERROR(INDEX('TRADING PLAN'!E:E, MATCH("←", 'TRADING PLAN'!J:J, 0)),"")</f>
        <v/>
      </c>
    </row>
    <row r="193">
      <c r="A193">
        <f>IF(B193&lt;&gt;"", IF(A193="", TODAY(), A193), "")</f>
        <v/>
      </c>
      <c r="F193">
        <f>IF(AND(D193&lt;&gt;"",E193&lt;&gt;"",H193&lt;&gt;""), IF(C193="Short", (D193-E193)*H193*100*SETTINGS!$B$10, (E193-D193)*H193*100*SETTINGS!$B$10), "")</f>
        <v/>
      </c>
      <c r="H193">
        <f>IFERROR(INDEX('TRADING PLAN'!E:E, MATCH("←", 'TRADING PLAN'!J:J, 0)),"")</f>
        <v/>
      </c>
    </row>
    <row r="194">
      <c r="A194">
        <f>IF(B194&lt;&gt;"", IF(A194="", TODAY(), A194), "")</f>
        <v/>
      </c>
      <c r="F194">
        <f>IF(AND(D194&lt;&gt;"",E194&lt;&gt;"",H194&lt;&gt;""), IF(C194="Short", (D194-E194)*H194*100*SETTINGS!$B$10, (E194-D194)*H194*100*SETTINGS!$B$10), "")</f>
        <v/>
      </c>
      <c r="H194">
        <f>IFERROR(INDEX('TRADING PLAN'!E:E, MATCH("←", 'TRADING PLAN'!J:J, 0)),"")</f>
        <v/>
      </c>
    </row>
    <row r="195">
      <c r="A195">
        <f>IF(B195&lt;&gt;"", IF(A195="", TODAY(), A195), "")</f>
        <v/>
      </c>
      <c r="F195">
        <f>IF(AND(D195&lt;&gt;"",E195&lt;&gt;"",H195&lt;&gt;""), IF(C195="Short", (D195-E195)*H195*100*SETTINGS!$B$10, (E195-D195)*H195*100*SETTINGS!$B$10), "")</f>
        <v/>
      </c>
      <c r="H195">
        <f>IFERROR(INDEX('TRADING PLAN'!E:E, MATCH("←", 'TRADING PLAN'!J:J, 0)),"")</f>
        <v/>
      </c>
    </row>
    <row r="196">
      <c r="A196">
        <f>IF(B196&lt;&gt;"", IF(A196="", TODAY(), A196), "")</f>
        <v/>
      </c>
      <c r="F196">
        <f>IF(AND(D196&lt;&gt;"",E196&lt;&gt;"",H196&lt;&gt;""), IF(C196="Short", (D196-E196)*H196*100*SETTINGS!$B$10, (E196-D196)*H196*100*SETTINGS!$B$10), "")</f>
        <v/>
      </c>
      <c r="H196">
        <f>IFERROR(INDEX('TRADING PLAN'!E:E, MATCH("←", 'TRADING PLAN'!J:J, 0)),"")</f>
        <v/>
      </c>
    </row>
    <row r="197">
      <c r="A197">
        <f>IF(B197&lt;&gt;"", IF(A197="", TODAY(), A197), "")</f>
        <v/>
      </c>
      <c r="F197">
        <f>IF(AND(D197&lt;&gt;"",E197&lt;&gt;"",H197&lt;&gt;""), IF(C197="Short", (D197-E197)*H197*100*SETTINGS!$B$10, (E197-D197)*H197*100*SETTINGS!$B$10), "")</f>
        <v/>
      </c>
      <c r="H197">
        <f>IFERROR(INDEX('TRADING PLAN'!E:E, MATCH("←", 'TRADING PLAN'!J:J, 0)),"")</f>
        <v/>
      </c>
    </row>
    <row r="198">
      <c r="A198">
        <f>IF(B198&lt;&gt;"", IF(A198="", TODAY(), A198), "")</f>
        <v/>
      </c>
      <c r="F198">
        <f>IF(AND(D198&lt;&gt;"",E198&lt;&gt;"",H198&lt;&gt;""), IF(C198="Short", (D198-E198)*H198*100*SETTINGS!$B$10, (E198-D198)*H198*100*SETTINGS!$B$10), "")</f>
        <v/>
      </c>
      <c r="H198">
        <f>IFERROR(INDEX('TRADING PLAN'!E:E, MATCH("←", 'TRADING PLAN'!J:J, 0)),"")</f>
        <v/>
      </c>
    </row>
    <row r="199">
      <c r="A199">
        <f>IF(B199&lt;&gt;"", IF(A199="", TODAY(), A199), "")</f>
        <v/>
      </c>
      <c r="F199">
        <f>IF(AND(D199&lt;&gt;"",E199&lt;&gt;"",H199&lt;&gt;""), IF(C199="Short", (D199-E199)*H199*100*SETTINGS!$B$10, (E199-D199)*H199*100*SETTINGS!$B$10), "")</f>
        <v/>
      </c>
      <c r="H199">
        <f>IFERROR(INDEX('TRADING PLAN'!E:E, MATCH("←", 'TRADING PLAN'!J:J, 0)),"")</f>
        <v/>
      </c>
    </row>
    <row r="200">
      <c r="A200">
        <f>IF(B200&lt;&gt;"", IF(A200="", TODAY(), A200), "")</f>
        <v/>
      </c>
      <c r="F200">
        <f>IF(AND(D200&lt;&gt;"",E200&lt;&gt;"",H200&lt;&gt;""), IF(C200="Short", (D200-E200)*H200*100*SETTINGS!$B$10, (E200-D200)*H200*100*SETTINGS!$B$10), "")</f>
        <v/>
      </c>
      <c r="H200">
        <f>IFERROR(INDEX('TRADING PLAN'!E:E, MATCH("←", 'TRADING PLAN'!J:J, 0)),"")</f>
        <v/>
      </c>
    </row>
    <row r="201">
      <c r="A201">
        <f>IF(B201&lt;&gt;"", IF(A201="", TODAY(), A201), "")</f>
        <v/>
      </c>
      <c r="F201">
        <f>IF(AND(D201&lt;&gt;"",E201&lt;&gt;"",H201&lt;&gt;""), IF(C201="Short", (D201-E201)*H201*100*SETTINGS!$B$10, (E201-D201)*H201*100*SETTINGS!$B$10), "")</f>
        <v/>
      </c>
      <c r="H201">
        <f>IFERROR(INDEX('TRADING PLAN'!E:E, MATCH("←", 'TRADING PLAN'!J:J, 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2025-11-27T17:48:18Z</dcterms:created>
  <dcterms:modified xmlns:dcterms="http://purl.org/dc/terms/" xmlns:xsi="http://www.w3.org/2001/XMLSchema-instance" xsi:type="dcterms:W3CDTF">2025-11-27T17:48:18Z</dcterms:modified>
</cp:coreProperties>
</file>